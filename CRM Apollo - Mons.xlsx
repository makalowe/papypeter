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_Mons" sheetId="1" state="visible" r:id="rId1"/>
    <sheet xmlns:r="http://schemas.openxmlformats.org/officeDocument/2006/relationships" name="Pipeline_CRM" sheetId="2" state="visible" r:id="rId2"/>
    <sheet xmlns:r="http://schemas.openxmlformats.org/officeDocument/2006/relationships" name="Apollo_Filtres_Mons" sheetId="3" state="visible" r:id="rId3"/>
    <sheet xmlns:r="http://schemas.openxmlformats.org/officeDocument/2006/relationships" name="Mode_emplo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6F43"/>
      <sz val="14"/>
    </font>
    <font>
      <b val="1"/>
    </font>
    <font>
      <b val="1"/>
      <color rgb="001F6F43"/>
      <sz val="13"/>
    </font>
  </fonts>
  <fills count="3">
    <fill>
      <patternFill/>
    </fill>
    <fill>
      <patternFill patternType="gray125"/>
    </fill>
    <fill>
      <patternFill patternType="solid">
        <fgColor rgb="001F6F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10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_prospects_mons" displayName="tbl_prospects_mons" ref="A1:R9" headerRowCount="1">
  <autoFilter ref="A1:R9"/>
  <tableColumns count="18">
    <tableColumn id="1" name="segment"/>
    <tableColumn id="2" name="organisation"/>
    <tableColumn id="3" name="ville"/>
    <tableColumn id="4" name="persona_cible"/>
    <tableColumn id="5" name="nom_contact"/>
    <tableColumn id="6" name="poste"/>
    <tableColumn id="7" name="email"/>
    <tableColumn id="8" name="telephone"/>
    <tableColumn id="9" name="website"/>
    <tableColumn id="10" name="linkedin"/>
    <tableColumn id="11" name="source"/>
    <tableColumn id="12" name="date_collecte"/>
    <tableColumn id="13" name="score_fit_100"/>
    <tableColumn id="14" name="statut"/>
    <tableColumn id="15" name="priorite"/>
    <tableColumn id="16" name="prochaine_action"/>
    <tableColumn id="17" name="date_relance"/>
    <tableColumn id="18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6" customWidth="1" min="4" max="4"/>
    <col width="20" customWidth="1" min="5" max="5"/>
    <col width="18" customWidth="1" min="6" max="6"/>
    <col width="28" customWidth="1" min="7" max="7"/>
    <col width="16" customWidth="1" min="8" max="8"/>
    <col width="28" customWidth="1" min="9" max="9"/>
    <col width="28" customWidth="1" min="10" max="10"/>
    <col width="12" customWidth="1" min="11" max="11"/>
    <col width="14" customWidth="1" min="12" max="12"/>
    <col width="12" customWidth="1" min="13" max="13"/>
    <col width="14" customWidth="1" min="14" max="14"/>
    <col width="10" customWidth="1" min="15" max="15"/>
    <col width="34" customWidth="1" min="16" max="16"/>
    <col width="14" customWidth="1" min="17" max="17"/>
    <col width="34" customWidth="1" min="18" max="18"/>
  </cols>
  <sheetData>
    <row r="1">
      <c r="A1" s="1" t="inlineStr">
        <is>
          <t>segment</t>
        </is>
      </c>
      <c r="B1" s="1" t="inlineStr">
        <is>
          <t>organisation</t>
        </is>
      </c>
      <c r="C1" s="1" t="inlineStr">
        <is>
          <t>ville</t>
        </is>
      </c>
      <c r="D1" s="1" t="inlineStr">
        <is>
          <t>persona_cible</t>
        </is>
      </c>
      <c r="E1" s="1" t="inlineStr">
        <is>
          <t>nom_contact</t>
        </is>
      </c>
      <c r="F1" s="1" t="inlineStr">
        <is>
          <t>poste</t>
        </is>
      </c>
      <c r="G1" s="1" t="inlineStr">
        <is>
          <t>email</t>
        </is>
      </c>
      <c r="H1" s="1" t="inlineStr">
        <is>
          <t>telephone</t>
        </is>
      </c>
      <c r="I1" s="1" t="inlineStr">
        <is>
          <t>website</t>
        </is>
      </c>
      <c r="J1" s="1" t="inlineStr">
        <is>
          <t>linkedin</t>
        </is>
      </c>
      <c r="K1" s="1" t="inlineStr">
        <is>
          <t>source</t>
        </is>
      </c>
      <c r="L1" s="1" t="inlineStr">
        <is>
          <t>date_collecte</t>
        </is>
      </c>
      <c r="M1" s="1" t="inlineStr">
        <is>
          <t>score_fit_100</t>
        </is>
      </c>
      <c r="N1" s="1" t="inlineStr">
        <is>
          <t>statut</t>
        </is>
      </c>
      <c r="O1" s="1" t="inlineStr">
        <is>
          <t>priorite</t>
        </is>
      </c>
      <c r="P1" s="1" t="inlineStr">
        <is>
          <t>prochaine_action</t>
        </is>
      </c>
      <c r="Q1" s="1" t="inlineStr">
        <is>
          <t>date_relance</t>
        </is>
      </c>
      <c r="R1" s="1" t="inlineStr">
        <is>
          <t>notes</t>
        </is>
      </c>
    </row>
    <row r="2">
      <c r="A2" t="inlineStr">
        <is>
          <t>Ecole</t>
        </is>
      </c>
      <c r="B2" t="inlineStr">
        <is>
          <t>Ecoles primaires (Mons)</t>
        </is>
      </c>
      <c r="C2" t="inlineStr">
        <is>
          <t>Mons</t>
        </is>
      </c>
      <c r="D2" t="inlineStr">
        <is>
          <t>Direction</t>
        </is>
      </c>
      <c r="E2" t="inlineStr"/>
      <c r="F2" t="inlineStr">
        <is>
          <t>Directeur/Directrice</t>
        </is>
      </c>
      <c r="G2" t="inlineStr"/>
      <c r="H2" t="inlineStr"/>
      <c r="I2" t="inlineStr"/>
      <c r="J2" t="inlineStr"/>
      <c r="K2" t="inlineStr">
        <is>
          <t>Apollo</t>
        </is>
      </c>
      <c r="L2" t="inlineStr">
        <is>
          <t>2026-04-23</t>
        </is>
      </c>
      <c r="M2" t="inlineStr"/>
      <c r="N2" t="inlineStr">
        <is>
          <t>A qualifier</t>
        </is>
      </c>
      <c r="O2" t="inlineStr">
        <is>
          <t>Haute</t>
        </is>
      </c>
      <c r="P2" t="inlineStr">
        <is>
          <t>Importer 50 contacts depuis Apollo</t>
        </is>
      </c>
      <c r="Q2" t="inlineStr"/>
      <c r="R2" t="inlineStr">
        <is>
          <t>Potager pedagogique</t>
        </is>
      </c>
    </row>
    <row r="3">
      <c r="A3" t="inlineStr">
        <is>
          <t>Ecole</t>
        </is>
      </c>
      <c r="B3" t="inlineStr">
        <is>
          <t>Ecoles secondaires (Mons)</t>
        </is>
      </c>
      <c r="C3" t="inlineStr">
        <is>
          <t>Mons</t>
        </is>
      </c>
      <c r="D3" t="inlineStr">
        <is>
          <t>Direction</t>
        </is>
      </c>
      <c r="E3" t="inlineStr"/>
      <c r="F3" t="inlineStr">
        <is>
          <t>Prefet/Direction</t>
        </is>
      </c>
      <c r="G3" t="inlineStr"/>
      <c r="H3" t="inlineStr"/>
      <c r="I3" t="inlineStr"/>
      <c r="J3" t="inlineStr"/>
      <c r="K3" t="inlineStr">
        <is>
          <t>Apollo</t>
        </is>
      </c>
      <c r="L3" t="inlineStr">
        <is>
          <t>2026-04-23</t>
        </is>
      </c>
      <c r="M3" t="inlineStr"/>
      <c r="N3" t="inlineStr">
        <is>
          <t>A qualifier</t>
        </is>
      </c>
      <c r="O3" t="inlineStr">
        <is>
          <t>Haute</t>
        </is>
      </c>
      <c r="P3" t="inlineStr">
        <is>
          <t>Trouver email direction</t>
        </is>
      </c>
      <c r="Q3" t="inlineStr"/>
      <c r="R3" t="inlineStr">
        <is>
          <t>Ateliers + conferences</t>
        </is>
      </c>
    </row>
    <row r="4">
      <c r="A4" t="inlineStr">
        <is>
          <t>Maison de repos</t>
        </is>
      </c>
      <c r="B4" t="inlineStr">
        <is>
          <t>Maisons de repos (Mons)</t>
        </is>
      </c>
      <c r="C4" t="inlineStr">
        <is>
          <t>Mons</t>
        </is>
      </c>
      <c r="D4" t="inlineStr">
        <is>
          <t>Direction</t>
        </is>
      </c>
      <c r="E4" t="inlineStr"/>
      <c r="F4" t="inlineStr">
        <is>
          <t>Directeur/trice</t>
        </is>
      </c>
      <c r="G4" t="inlineStr"/>
      <c r="H4" t="inlineStr"/>
      <c r="I4" t="inlineStr"/>
      <c r="J4" t="inlineStr"/>
      <c r="K4" t="inlineStr">
        <is>
          <t>Apollo</t>
        </is>
      </c>
      <c r="L4" t="inlineStr">
        <is>
          <t>2026-04-23</t>
        </is>
      </c>
      <c r="M4" t="inlineStr"/>
      <c r="N4" t="inlineStr">
        <is>
          <t>A qualifier</t>
        </is>
      </c>
      <c r="O4" t="inlineStr">
        <is>
          <t>Haute</t>
        </is>
      </c>
      <c r="P4" t="inlineStr">
        <is>
          <t>Cibler jardins therapeutiques</t>
        </is>
      </c>
      <c r="Q4" t="inlineStr"/>
      <c r="R4" t="inlineStr">
        <is>
          <t>Activites seniors</t>
        </is>
      </c>
    </row>
    <row r="5">
      <c r="A5" t="inlineStr">
        <is>
          <t>Sante mentale</t>
        </is>
      </c>
      <c r="B5" t="inlineStr">
        <is>
          <t>Centres psychiatriques (Mons)</t>
        </is>
      </c>
      <c r="C5" t="inlineStr">
        <is>
          <t>Mons</t>
        </is>
      </c>
      <c r="D5" t="inlineStr">
        <is>
          <t>Direction soins</t>
        </is>
      </c>
      <c r="E5" t="inlineStr"/>
      <c r="F5" t="inlineStr">
        <is>
          <t>Chef de service</t>
        </is>
      </c>
      <c r="G5" t="inlineStr"/>
      <c r="H5" t="inlineStr"/>
      <c r="I5" t="inlineStr"/>
      <c r="J5" t="inlineStr"/>
      <c r="K5" t="inlineStr">
        <is>
          <t>Apollo</t>
        </is>
      </c>
      <c r="L5" t="inlineStr">
        <is>
          <t>2026-04-23</t>
        </is>
      </c>
      <c r="M5" t="inlineStr"/>
      <c r="N5" t="inlineStr">
        <is>
          <t>A qualifier</t>
        </is>
      </c>
      <c r="O5" t="inlineStr">
        <is>
          <t>Moyenne</t>
        </is>
      </c>
      <c r="P5" t="inlineStr">
        <is>
          <t>Identifier besoins therapeutiques</t>
        </is>
      </c>
      <c r="Q5" t="inlineStr"/>
      <c r="R5" t="inlineStr">
        <is>
          <t>Plantes medicinales</t>
        </is>
      </c>
    </row>
    <row r="6">
      <c r="A6" t="inlineStr">
        <is>
          <t>Association</t>
        </is>
      </c>
      <c r="B6" t="inlineStr">
        <is>
          <t>Foyers de jeunes (Mons)</t>
        </is>
      </c>
      <c r="C6" t="inlineStr">
        <is>
          <t>Mons</t>
        </is>
      </c>
      <c r="D6" t="inlineStr">
        <is>
          <t>Coordination</t>
        </is>
      </c>
      <c r="E6" t="inlineStr"/>
      <c r="F6" t="inlineStr">
        <is>
          <t>Coordinateur/trice</t>
        </is>
      </c>
      <c r="G6" t="inlineStr"/>
      <c r="H6" t="inlineStr"/>
      <c r="I6" t="inlineStr"/>
      <c r="J6" t="inlineStr"/>
      <c r="K6" t="inlineStr">
        <is>
          <t>Apollo</t>
        </is>
      </c>
      <c r="L6" t="inlineStr">
        <is>
          <t>2026-04-23</t>
        </is>
      </c>
      <c r="M6" t="inlineStr"/>
      <c r="N6" t="inlineStr">
        <is>
          <t>A qualifier</t>
        </is>
      </c>
      <c r="O6" t="inlineStr">
        <is>
          <t>Moyenne</t>
        </is>
      </c>
      <c r="P6" t="inlineStr">
        <is>
          <t>Proposer atelier pilote</t>
        </is>
      </c>
      <c r="Q6" t="inlineStr"/>
      <c r="R6" t="inlineStr">
        <is>
          <t>Insertion sociale</t>
        </is>
      </c>
    </row>
    <row r="7">
      <c r="A7" t="inlineStr">
        <is>
          <t>Association</t>
        </is>
      </c>
      <c r="B7" t="inlineStr">
        <is>
          <t>Foyers SDF (Mons)</t>
        </is>
      </c>
      <c r="C7" t="inlineStr">
        <is>
          <t>Mons</t>
        </is>
      </c>
      <c r="D7" t="inlineStr">
        <is>
          <t>Direction</t>
        </is>
      </c>
      <c r="E7" t="inlineStr"/>
      <c r="F7" t="inlineStr">
        <is>
          <t>Responsable</t>
        </is>
      </c>
      <c r="G7" t="inlineStr"/>
      <c r="H7" t="inlineStr"/>
      <c r="I7" t="inlineStr"/>
      <c r="J7" t="inlineStr"/>
      <c r="K7" t="inlineStr">
        <is>
          <t>Apollo</t>
        </is>
      </c>
      <c r="L7" t="inlineStr">
        <is>
          <t>2026-04-23</t>
        </is>
      </c>
      <c r="M7" t="inlineStr"/>
      <c r="N7" t="inlineStr">
        <is>
          <t>A qualifier</t>
        </is>
      </c>
      <c r="O7" t="inlineStr">
        <is>
          <t>Moyenne</t>
        </is>
      </c>
      <c r="P7" t="inlineStr">
        <is>
          <t>Proposer micro-potager</t>
        </is>
      </c>
      <c r="Q7" t="inlineStr"/>
      <c r="R7" t="inlineStr">
        <is>
          <t>Projet impact social</t>
        </is>
      </c>
    </row>
    <row r="8">
      <c r="A8" t="inlineStr">
        <is>
          <t>Entreprise</t>
        </is>
      </c>
      <c r="B8" t="inlineStr">
        <is>
          <t>Comites d'entreprise (Mons)</t>
        </is>
      </c>
      <c r="C8" t="inlineStr">
        <is>
          <t>Mons</t>
        </is>
      </c>
      <c r="D8" t="inlineStr">
        <is>
          <t>RH/QVT</t>
        </is>
      </c>
      <c r="E8" t="inlineStr"/>
      <c r="F8" t="inlineStr">
        <is>
          <t>RH Manager</t>
        </is>
      </c>
      <c r="G8" t="inlineStr"/>
      <c r="H8" t="inlineStr"/>
      <c r="I8" t="inlineStr"/>
      <c r="J8" t="inlineStr"/>
      <c r="K8" t="inlineStr">
        <is>
          <t>Apollo</t>
        </is>
      </c>
      <c r="L8" t="inlineStr">
        <is>
          <t>2026-04-23</t>
        </is>
      </c>
      <c r="M8" t="inlineStr"/>
      <c r="N8" t="inlineStr">
        <is>
          <t>A qualifier</t>
        </is>
      </c>
      <c r="O8" t="inlineStr">
        <is>
          <t>Moyenne</t>
        </is>
      </c>
      <c r="P8" t="inlineStr">
        <is>
          <t>Proposer team building potager</t>
        </is>
      </c>
      <c r="Q8" t="inlineStr"/>
      <c r="R8" t="inlineStr">
        <is>
          <t>QVT &amp; RSE</t>
        </is>
      </c>
    </row>
    <row r="9">
      <c r="A9" t="inlineStr">
        <is>
          <t>Collectivite</t>
        </is>
      </c>
      <c r="B9" t="inlineStr">
        <is>
          <t>Services communaux (Mons)</t>
        </is>
      </c>
      <c r="C9" t="inlineStr">
        <is>
          <t>Mons</t>
        </is>
      </c>
      <c r="D9" t="inlineStr">
        <is>
          <t>Echevinat</t>
        </is>
      </c>
      <c r="E9" t="inlineStr"/>
      <c r="F9" t="inlineStr">
        <is>
          <t>Charge de projet</t>
        </is>
      </c>
      <c r="G9" t="inlineStr"/>
      <c r="H9" t="inlineStr"/>
      <c r="I9" t="inlineStr"/>
      <c r="J9" t="inlineStr"/>
      <c r="K9" t="inlineStr">
        <is>
          <t>Apollo</t>
        </is>
      </c>
      <c r="L9" t="inlineStr">
        <is>
          <t>2026-04-23</t>
        </is>
      </c>
      <c r="M9" t="inlineStr"/>
      <c r="N9" t="inlineStr">
        <is>
          <t>A qualifier</t>
        </is>
      </c>
      <c r="O9" t="inlineStr">
        <is>
          <t>Moyenne</t>
        </is>
      </c>
      <c r="P9" t="inlineStr">
        <is>
          <t>Contacter service environnement</t>
        </is>
      </c>
      <c r="Q9" t="inlineStr"/>
      <c r="R9" t="inlineStr">
        <is>
          <t>Partenariats locaux</t>
        </is>
      </c>
    </row>
  </sheetData>
  <conditionalFormatting sqref="M2:M20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4" max="4"/>
    <col width="24" customWidth="1" min="5" max="5"/>
  </cols>
  <sheetData>
    <row r="1">
      <c r="A1" s="2" t="inlineStr">
        <is>
          <t>Dashboard CRM - Zion Garden (Mons)</t>
        </is>
      </c>
    </row>
    <row r="3">
      <c r="A3" s="3" t="inlineStr">
        <is>
          <t>Statut</t>
        </is>
      </c>
      <c r="B3" s="3" t="inlineStr">
        <is>
          <t>Nombre</t>
        </is>
      </c>
      <c r="D3" s="3" t="inlineStr">
        <is>
          <t>KPI</t>
        </is>
      </c>
      <c r="E3" s="3" t="inlineStr">
        <is>
          <t>Valeur</t>
        </is>
      </c>
    </row>
    <row r="4">
      <c r="A4" t="inlineStr">
        <is>
          <t>A qualifier</t>
        </is>
      </c>
      <c r="B4">
        <f>COUNTIF(Prospects_Mons!N:N,A4)</f>
        <v/>
      </c>
      <c r="D4" t="inlineStr">
        <is>
          <t>Total prospects</t>
        </is>
      </c>
      <c r="E4">
        <f>COUNTA(Prospects_Mons!B:B)-1</f>
        <v/>
      </c>
    </row>
    <row r="5">
      <c r="A5" t="inlineStr">
        <is>
          <t>Email envoye</t>
        </is>
      </c>
      <c r="B5">
        <f>COUNTIF(Prospects_Mons!N:N,A5)</f>
        <v/>
      </c>
      <c r="D5" t="inlineStr">
        <is>
          <t>RDV planifies</t>
        </is>
      </c>
      <c r="E5">
        <f>COUNTIF(Prospects_Mons!N:N,"RDV planifie")</f>
        <v/>
      </c>
    </row>
    <row r="6">
      <c r="A6" t="inlineStr">
        <is>
          <t>Relance 1</t>
        </is>
      </c>
      <c r="B6">
        <f>COUNTIF(Prospects_Mons!N:N,A6)</f>
        <v/>
      </c>
      <c r="D6" t="inlineStr">
        <is>
          <t>Opportunites gagnees</t>
        </is>
      </c>
      <c r="E6">
        <f>COUNTIF(Prospects_Mons!N:N,"Gagne")</f>
        <v/>
      </c>
    </row>
    <row r="7">
      <c r="A7" t="inlineStr">
        <is>
          <t>Relance 2</t>
        </is>
      </c>
      <c r="B7">
        <f>COUNTIF(Prospects_Mons!N:N,A7)</f>
        <v/>
      </c>
      <c r="D7" t="inlineStr">
        <is>
          <t>Taux RDV</t>
        </is>
      </c>
      <c r="E7" s="4">
        <f>IF(E4=0,0,E5/E4)</f>
        <v/>
      </c>
    </row>
    <row r="8">
      <c r="A8" t="inlineStr">
        <is>
          <t>RDV planifie</t>
        </is>
      </c>
      <c r="B8">
        <f>COUNTIF(Prospects_Mons!N:N,A8)</f>
        <v/>
      </c>
      <c r="D8" t="inlineStr">
        <is>
          <t>Taux closing</t>
        </is>
      </c>
      <c r="E8" s="4">
        <f>IF(E4=0,0,E6/E4)</f>
        <v/>
      </c>
    </row>
    <row r="9">
      <c r="A9" t="inlineStr">
        <is>
          <t>Proposition envoyee</t>
        </is>
      </c>
      <c r="B9">
        <f>COUNTIF(Prospects_Mons!N:N,A9)</f>
        <v/>
      </c>
    </row>
    <row r="10">
      <c r="A10" t="inlineStr">
        <is>
          <t>Gagne</t>
        </is>
      </c>
      <c r="B10">
        <f>COUNTIF(Prospects_Mons!N:N,A10)</f>
        <v/>
      </c>
    </row>
    <row r="11">
      <c r="A11" t="inlineStr">
        <is>
          <t>Perdu</t>
        </is>
      </c>
      <c r="B11">
        <f>COUNTIF(Prospects_Mons!N:N,A11)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54" customWidth="1" min="3" max="3"/>
  </cols>
  <sheetData>
    <row r="1">
      <c r="A1" s="5" t="inlineStr">
        <is>
          <t>Parametres de recherche Apollo (focus Mons)</t>
        </is>
      </c>
    </row>
    <row r="3">
      <c r="A3" s="3" t="inlineStr">
        <is>
          <t>Bloc</t>
        </is>
      </c>
      <c r="B3" s="3" t="inlineStr">
        <is>
          <t>Champ</t>
        </is>
      </c>
      <c r="C3" s="3" t="inlineStr">
        <is>
          <t>Valeur conseillee</t>
        </is>
      </c>
    </row>
    <row r="4">
      <c r="A4" t="inlineStr">
        <is>
          <t>Localisation</t>
        </is>
      </c>
      <c r="B4" t="inlineStr">
        <is>
          <t>City</t>
        </is>
      </c>
      <c r="C4" t="inlineStr">
        <is>
          <t>Mons</t>
        </is>
      </c>
    </row>
    <row r="5">
      <c r="A5" t="inlineStr">
        <is>
          <t>Localisation</t>
        </is>
      </c>
      <c r="B5" t="inlineStr">
        <is>
          <t>Radius</t>
        </is>
      </c>
      <c r="C5" t="inlineStr">
        <is>
          <t>0-25 km</t>
        </is>
      </c>
    </row>
    <row r="6">
      <c r="A6" t="inlineStr">
        <is>
          <t>Secteurs</t>
        </is>
      </c>
      <c r="B6" t="inlineStr">
        <is>
          <t>Industry</t>
        </is>
      </c>
      <c r="C6" t="inlineStr">
        <is>
          <t>Primary/Secondary Education</t>
        </is>
      </c>
    </row>
    <row r="7">
      <c r="A7" t="inlineStr">
        <is>
          <t>Secteurs</t>
        </is>
      </c>
      <c r="B7" t="inlineStr">
        <is>
          <t>Industry</t>
        </is>
      </c>
      <c r="C7" t="inlineStr">
        <is>
          <t>Hospital &amp; Health Care</t>
        </is>
      </c>
    </row>
    <row r="8">
      <c r="A8" t="inlineStr">
        <is>
          <t>Secteurs</t>
        </is>
      </c>
      <c r="B8" t="inlineStr">
        <is>
          <t>Industry</t>
        </is>
      </c>
      <c r="C8" t="inlineStr">
        <is>
          <t>Non-Profit Organization Management</t>
        </is>
      </c>
    </row>
    <row r="9">
      <c r="A9" t="inlineStr">
        <is>
          <t>Seniors</t>
        </is>
      </c>
      <c r="B9" t="inlineStr">
        <is>
          <t>Job Titles</t>
        </is>
      </c>
      <c r="C9" t="inlineStr">
        <is>
          <t>Directeur, Coordinateur, RH, Responsable pedagogique</t>
        </is>
      </c>
    </row>
    <row r="10">
      <c r="A10" t="inlineStr">
        <is>
          <t>Taille</t>
        </is>
      </c>
      <c r="B10" t="inlineStr">
        <is>
          <t>Employee count</t>
        </is>
      </c>
      <c r="C10" t="inlineStr">
        <is>
          <t>11-50, 51-200, 201-500</t>
        </is>
      </c>
    </row>
    <row r="11">
      <c r="A11" t="inlineStr">
        <is>
          <t>Qualite donnees</t>
        </is>
      </c>
      <c r="B11" t="inlineStr">
        <is>
          <t>Has email</t>
        </is>
      </c>
      <c r="C11" t="inlineStr">
        <is>
          <t>Yes</t>
        </is>
      </c>
    </row>
    <row r="12">
      <c r="A12" t="inlineStr">
        <is>
          <t>Qualite donnees</t>
        </is>
      </c>
      <c r="B12" t="inlineStr">
        <is>
          <t>Email status</t>
        </is>
      </c>
      <c r="C12" t="inlineStr">
        <is>
          <t>Verified</t>
        </is>
      </c>
    </row>
    <row r="13">
      <c r="A13" t="inlineStr">
        <is>
          <t>Export</t>
        </is>
      </c>
      <c r="B13" t="inlineStr">
        <is>
          <t>Batch size</t>
        </is>
      </c>
      <c r="C13" t="inlineStr">
        <is>
          <t>50 a 100 contacts par segment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Processus rapide (Apollo -&gt; CRM -&gt; Outreach)</t>
        </is>
      </c>
    </row>
    <row r="3">
      <c r="A3" t="inlineStr">
        <is>
          <t>1) Dans Apollo, applique les filtres de l'onglet Apollo_Filtres_Mons.</t>
        </is>
      </c>
    </row>
    <row r="4">
      <c r="A4" t="inlineStr">
        <is>
          <t>2) Exporte en CSV (contacts + email + phone + linkedin + company).</t>
        </is>
      </c>
    </row>
    <row r="5">
      <c r="A5" t="inlineStr">
        <is>
          <t>3) Colle/importe dans Prospects_Mons (colonnes correspondantes).</t>
        </is>
      </c>
    </row>
    <row r="6">
      <c r="A6" t="inlineStr">
        <is>
          <t>4) Attribue un score_fit_100 (priorite commerciale).</t>
        </is>
      </c>
    </row>
    <row r="7">
      <c r="A7" t="inlineStr">
        <is>
          <t>5) Lance les emails par vagues de 20-30/jour.</t>
        </is>
      </c>
    </row>
    <row r="8">
      <c r="A8" t="inlineStr">
        <is>
          <t>6) Mets a jour statut + date_relance chaque soir.</t>
        </is>
      </c>
    </row>
    <row r="9">
      <c r="A9" t="inlineStr">
        <is>
          <t>7) Suis les KPI dans Pipeline_CRM chaque semaine.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2026-04-23T21:35:25Z</dcterms:created>
  <dcterms:modified xmlns:dcterms="http://purl.org/dc/terms/" xmlns:xsi="http://www.w3.org/2001/XMLSchema-instance" xsi:type="dcterms:W3CDTF">2026-04-23T21:35:25Z</dcterms:modified>
</cp:coreProperties>
</file>