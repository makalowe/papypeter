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Interactions" sheetId="2" state="visible" r:id="rId2"/>
    <sheet xmlns:r="http://schemas.openxmlformats.org/officeDocument/2006/relationships" name="Pipeline" sheetId="3" state="visible" r:id="rId3"/>
    <sheet xmlns:r="http://schemas.openxmlformats.org/officeDocument/2006/relationships" name="Mode_emploi" sheetId="4" state="visible" r:id="rId4"/>
    <sheet xmlns:r="http://schemas.openxmlformats.org/officeDocument/2006/relationships" name="Relances" sheetId="5" state="visible" r:id="rId5"/>
    <sheet xmlns:r="http://schemas.openxmlformats.org/officeDocument/2006/relationships" name="Email_Templates" sheetId="6" state="visible" r:id="rId6"/>
    <sheet xmlns:r="http://schemas.openxmlformats.org/officeDocument/2006/relationships" name="Sales_Sta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6F43"/>
      <sz val="14"/>
    </font>
    <font>
      <b val="1"/>
    </font>
    <font>
      <b val="1"/>
      <color rgb="001F6F43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_prospects" displayName="tbl_prospects" ref="A1:AA4" headerRowCount="1">
  <autoFilter ref="A1:AA4"/>
  <tableColumns count="27">
    <tableColumn id="1" name="id"/>
    <tableColumn id="2" name="segment"/>
    <tableColumn id="3" name="organisation"/>
    <tableColumn id="4" name="ville"/>
    <tableColumn id="5" name="contact_nom"/>
    <tableColumn id="6" name="poste"/>
    <tableColumn id="7" name="email"/>
    <tableColumn id="8" name="telephone"/>
    <tableColumn id="9" name="linkedin"/>
    <tableColumn id="10" name="source"/>
    <tableColumn id="11" name="score_fit_100"/>
    <tableColumn id="12" name="statut"/>
    <tableColumn id="13" name="priorite"/>
    <tableColumn id="14" name="prochaine_action"/>
    <tableColumn id="15" name="date_relance"/>
    <tableColumn id="16" name="owner"/>
    <tableColumn id="17" name="notes"/>
    <tableColumn id="18" name="date_creation"/>
    <tableColumn id="19" name="keywords"/>
    <tableColumn id="20" name="sales_stage"/>
    <tableColumn id="21" name="need_score_5"/>
    <tableColumn id="22" name="authority_score_5"/>
    <tableColumn id="23" name="budget_score_5"/>
    <tableColumn id="24" name="timing_score_5"/>
    <tableColumn id="25" name="last_contact_date"/>
    <tableColumn id="26" name="next_action_date"/>
    <tableColumn id="27" name="pipeline_value_es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2" customWidth="1" min="4" max="4"/>
    <col width="20" customWidth="1" min="5" max="5"/>
    <col width="18" customWidth="1" min="6" max="6"/>
    <col width="26" customWidth="1" min="7" max="7"/>
    <col width="16" customWidth="1" min="8" max="8"/>
    <col width="28" customWidth="1" min="9" max="9"/>
    <col width="14" customWidth="1" min="10" max="10"/>
    <col width="12" customWidth="1" min="11" max="11"/>
    <col width="14" customWidth="1" min="12" max="12"/>
    <col width="10" customWidth="1" min="13" max="13"/>
    <col width="28" customWidth="1" min="14" max="14"/>
    <col width="14" customWidth="1" min="15" max="15"/>
    <col width="14" customWidth="1" min="16" max="16"/>
    <col width="30" customWidth="1" min="17" max="17"/>
    <col width="14" customWidth="1" min="18" max="18"/>
  </cols>
  <sheetData>
    <row r="1">
      <c r="A1" s="1" t="inlineStr">
        <is>
          <t>id</t>
        </is>
      </c>
      <c r="B1" s="1" t="inlineStr">
        <is>
          <t>segment</t>
        </is>
      </c>
      <c r="C1" s="1" t="inlineStr">
        <is>
          <t>organisation</t>
        </is>
      </c>
      <c r="D1" s="1" t="inlineStr">
        <is>
          <t>ville</t>
        </is>
      </c>
      <c r="E1" s="1" t="inlineStr">
        <is>
          <t>contact_nom</t>
        </is>
      </c>
      <c r="F1" s="1" t="inlineStr">
        <is>
          <t>poste</t>
        </is>
      </c>
      <c r="G1" s="1" t="inlineStr">
        <is>
          <t>email</t>
        </is>
      </c>
      <c r="H1" s="1" t="inlineStr">
        <is>
          <t>telephone</t>
        </is>
      </c>
      <c r="I1" s="1" t="inlineStr">
        <is>
          <t>linkedin</t>
        </is>
      </c>
      <c r="J1" s="1" t="inlineStr">
        <is>
          <t>source</t>
        </is>
      </c>
      <c r="K1" s="1" t="inlineStr">
        <is>
          <t>score_fit_100</t>
        </is>
      </c>
      <c r="L1" s="1" t="inlineStr">
        <is>
          <t>statut</t>
        </is>
      </c>
      <c r="M1" s="1" t="inlineStr">
        <is>
          <t>priorite</t>
        </is>
      </c>
      <c r="N1" s="1" t="inlineStr">
        <is>
          <t>prochaine_action</t>
        </is>
      </c>
      <c r="O1" s="1" t="inlineStr">
        <is>
          <t>date_relance</t>
        </is>
      </c>
      <c r="P1" s="1" t="inlineStr">
        <is>
          <t>owner</t>
        </is>
      </c>
      <c r="Q1" s="1" t="inlineStr">
        <is>
          <t>notes</t>
        </is>
      </c>
      <c r="R1" s="1" t="inlineStr">
        <is>
          <t>date_creation</t>
        </is>
      </c>
      <c r="S1" s="2" t="inlineStr">
        <is>
          <t>keywords</t>
        </is>
      </c>
      <c r="T1" s="2" t="inlineStr">
        <is>
          <t>sales_stage</t>
        </is>
      </c>
      <c r="U1" s="2" t="inlineStr">
        <is>
          <t>need_score_5</t>
        </is>
      </c>
      <c r="V1" s="2" t="inlineStr">
        <is>
          <t>authority_score_5</t>
        </is>
      </c>
      <c r="W1" s="2" t="inlineStr">
        <is>
          <t>budget_score_5</t>
        </is>
      </c>
      <c r="X1" s="2" t="inlineStr">
        <is>
          <t>timing_score_5</t>
        </is>
      </c>
      <c r="Y1" s="2" t="inlineStr">
        <is>
          <t>last_contact_date</t>
        </is>
      </c>
      <c r="Z1" s="2" t="inlineStr">
        <is>
          <t>next_action_date</t>
        </is>
      </c>
      <c r="AA1" s="2" t="inlineStr">
        <is>
          <t>pipeline_value_est</t>
        </is>
      </c>
    </row>
    <row r="2">
      <c r="A2" t="inlineStr">
        <is>
          <t>P-0001</t>
        </is>
      </c>
      <c r="B2" t="inlineStr">
        <is>
          <t>Ecole</t>
        </is>
      </c>
      <c r="D2" t="inlineStr">
        <is>
          <t>Mons</t>
        </is>
      </c>
      <c r="F2" t="inlineStr">
        <is>
          <t>Directeur</t>
        </is>
      </c>
      <c r="J2" t="inlineStr">
        <is>
          <t>Apollo</t>
        </is>
      </c>
      <c r="L2" t="inlineStr">
        <is>
          <t>A qualifier</t>
        </is>
      </c>
      <c r="M2" t="inlineStr">
        <is>
          <t>Haute</t>
        </is>
      </c>
      <c r="N2" t="inlineStr">
        <is>
          <t>Appel de qualification</t>
        </is>
      </c>
      <c r="P2" t="inlineStr">
        <is>
          <t>Papy Peter</t>
        </is>
      </c>
      <c r="R2" t="inlineStr">
        <is>
          <t>2026-04-24</t>
        </is>
      </c>
      <c r="S2" t="inlineStr">
        <is>
          <t>Ecole;Mons;Mons</t>
        </is>
      </c>
      <c r="T2" t="inlineStr">
        <is>
          <t>Qualified</t>
        </is>
      </c>
      <c r="Z2" t="inlineStr">
        <is>
          <t>2026-04-27</t>
        </is>
      </c>
    </row>
    <row r="3">
      <c r="A3" t="inlineStr">
        <is>
          <t>P-0002</t>
        </is>
      </c>
      <c r="B3" t="inlineStr">
        <is>
          <t>Maison de repos</t>
        </is>
      </c>
      <c r="D3" t="inlineStr">
        <is>
          <t>Mons</t>
        </is>
      </c>
      <c r="F3" t="inlineStr">
        <is>
          <t>Direction</t>
        </is>
      </c>
      <c r="J3" t="inlineStr">
        <is>
          <t>Apollo</t>
        </is>
      </c>
      <c r="L3" t="inlineStr">
        <is>
          <t>A qualifier</t>
        </is>
      </c>
      <c r="M3" t="inlineStr">
        <is>
          <t>Moyenne</t>
        </is>
      </c>
      <c r="N3" t="inlineStr">
        <is>
          <t>Email J0</t>
        </is>
      </c>
      <c r="P3" t="inlineStr">
        <is>
          <t>Papy Peter</t>
        </is>
      </c>
      <c r="R3" t="inlineStr">
        <is>
          <t>2026-04-24</t>
        </is>
      </c>
      <c r="S3" t="inlineStr">
        <is>
          <t>Maison de repos;Mons;Mons</t>
        </is>
      </c>
      <c r="T3" t="inlineStr">
        <is>
          <t>Qualified</t>
        </is>
      </c>
      <c r="Z3" t="inlineStr">
        <is>
          <t>2026-04-27</t>
        </is>
      </c>
    </row>
    <row r="4">
      <c r="A4" t="inlineStr">
        <is>
          <t>P-0003</t>
        </is>
      </c>
      <c r="B4" t="inlineStr">
        <is>
          <t>Entreprise</t>
        </is>
      </c>
      <c r="D4" t="inlineStr">
        <is>
          <t>Mons</t>
        </is>
      </c>
      <c r="F4" t="inlineStr">
        <is>
          <t>HR Manager</t>
        </is>
      </c>
      <c r="J4" t="inlineStr">
        <is>
          <t>Apollo</t>
        </is>
      </c>
      <c r="L4" t="inlineStr">
        <is>
          <t>A qualifier</t>
        </is>
      </c>
      <c r="M4" t="inlineStr">
        <is>
          <t>Moyenne</t>
        </is>
      </c>
      <c r="N4" t="inlineStr">
        <is>
          <t>Email J0</t>
        </is>
      </c>
      <c r="P4" t="inlineStr">
        <is>
          <t>Papy Peter</t>
        </is>
      </c>
      <c r="R4" t="inlineStr">
        <is>
          <t>2026-04-24</t>
        </is>
      </c>
      <c r="S4" t="inlineStr">
        <is>
          <t>Entreprise;Mons;Mons</t>
        </is>
      </c>
      <c r="T4" t="inlineStr">
        <is>
          <t>Qualified</t>
        </is>
      </c>
      <c r="Z4" t="inlineStr">
        <is>
          <t>2026-04-27</t>
        </is>
      </c>
    </row>
    <row r="5">
      <c r="A5" t="inlineStr">
        <is>
          <t>P-0004</t>
        </is>
      </c>
      <c r="B5" t="inlineStr">
        <is>
          <t>CPAS</t>
        </is>
      </c>
      <c r="C5" t="inlineStr">
        <is>
          <t>CPAS de Mons</t>
        </is>
      </c>
      <c r="D5" t="inlineStr">
        <is>
          <t>Mons</t>
        </is>
      </c>
      <c r="F5" t="inlineStr">
        <is>
          <t>Direction / Service social</t>
        </is>
      </c>
      <c r="G5" t="inlineStr">
        <is>
          <t>info@cpas.mons.be</t>
        </is>
      </c>
      <c r="H5" t="inlineStr">
        <is>
          <t>+3265412300</t>
        </is>
      </c>
      <c r="J5" t="inlineStr">
        <is>
          <t>https://www.mons.be/fr/cpas/liens-rapides/nous-contacter</t>
        </is>
      </c>
      <c r="K5" t="n">
        <v>78</v>
      </c>
      <c r="L5" t="inlineStr">
        <is>
          <t>A qualifier</t>
        </is>
      </c>
      <c r="M5" t="inlineStr">
        <is>
          <t>Haute</t>
        </is>
      </c>
      <c r="N5" t="inlineStr">
        <is>
          <t>Identifier interlocuteur + envoyer email J0</t>
        </is>
      </c>
      <c r="O5" t="inlineStr">
        <is>
          <t>2026-04-27</t>
        </is>
      </c>
      <c r="P5" t="inlineStr">
        <is>
          <t>Papy Peter</t>
        </is>
      </c>
      <c r="Q5" t="inlineStr">
        <is>
          <t>Contact officiel CPAS Mons (accueil)</t>
        </is>
      </c>
      <c r="R5" t="inlineStr">
        <is>
          <t>2026-04-24</t>
        </is>
      </c>
      <c r="S5" t="inlineStr">
        <is>
          <t>CPAS;Mons;agriculture sociale</t>
        </is>
      </c>
      <c r="T5" t="inlineStr">
        <is>
          <t>Qualified</t>
        </is>
      </c>
      <c r="U5" t="n">
        <v>4</v>
      </c>
      <c r="V5" t="n">
        <v>3</v>
      </c>
      <c r="W5" t="n">
        <v>2</v>
      </c>
      <c r="X5" t="n">
        <v>3</v>
      </c>
      <c r="Z5" t="inlineStr">
        <is>
          <t>2026-04-25</t>
        </is>
      </c>
      <c r="AA5" t="n">
        <v>1500</v>
      </c>
    </row>
    <row r="6">
      <c r="A6" t="inlineStr">
        <is>
          <t>P-0005</t>
        </is>
      </c>
      <c r="B6" t="inlineStr">
        <is>
          <t>CPAS</t>
        </is>
      </c>
      <c r="C6" t="inlineStr">
        <is>
          <t>CPAS de Soignies</t>
        </is>
      </c>
      <c r="D6" t="inlineStr">
        <is>
          <t>Soignies</t>
        </is>
      </c>
      <c r="F6" t="inlineStr">
        <is>
          <t>Direction / Service social</t>
        </is>
      </c>
      <c r="G6" t="inlineStr">
        <is>
          <t>direction@cpas-soignies.be</t>
        </is>
      </c>
      <c r="H6" t="inlineStr">
        <is>
          <t>+32067348111</t>
        </is>
      </c>
      <c r="J6" t="inlineStr">
        <is>
          <t>https://www.cpas-soignies.be/</t>
        </is>
      </c>
      <c r="K6" t="n">
        <v>78</v>
      </c>
      <c r="L6" t="inlineStr">
        <is>
          <t>A qualifier</t>
        </is>
      </c>
      <c r="M6" t="inlineStr">
        <is>
          <t>Haute</t>
        </is>
      </c>
      <c r="N6" t="inlineStr">
        <is>
          <t>Identifier interlocuteur + envoyer email J0</t>
        </is>
      </c>
      <c r="O6" t="inlineStr">
        <is>
          <t>2026-04-27</t>
        </is>
      </c>
      <c r="P6" t="inlineStr">
        <is>
          <t>Papy Peter</t>
        </is>
      </c>
      <c r="Q6" t="inlineStr">
        <is>
          <t>Projet agriculture sociale pertinent</t>
        </is>
      </c>
      <c r="R6" t="inlineStr">
        <is>
          <t>2026-04-24</t>
        </is>
      </c>
      <c r="S6" t="inlineStr">
        <is>
          <t>CPAS;Soignies;agriculture sociale</t>
        </is>
      </c>
      <c r="T6" t="inlineStr">
        <is>
          <t>Qualified</t>
        </is>
      </c>
      <c r="U6" t="n">
        <v>4</v>
      </c>
      <c r="V6" t="n">
        <v>3</v>
      </c>
      <c r="W6" t="n">
        <v>2</v>
      </c>
      <c r="X6" t="n">
        <v>3</v>
      </c>
      <c r="Z6" t="inlineStr">
        <is>
          <t>2026-04-25</t>
        </is>
      </c>
      <c r="AA6" t="n">
        <v>1500</v>
      </c>
    </row>
    <row r="7">
      <c r="A7" t="inlineStr">
        <is>
          <t>P-0006</t>
        </is>
      </c>
      <c r="B7" t="inlineStr">
        <is>
          <t>CPAS</t>
        </is>
      </c>
      <c r="C7" t="inlineStr">
        <is>
          <t>CPAS de Lens</t>
        </is>
      </c>
      <c r="D7" t="inlineStr">
        <is>
          <t>Lens</t>
        </is>
      </c>
      <c r="F7" t="inlineStr">
        <is>
          <t>Direction / Service social</t>
        </is>
      </c>
      <c r="G7" t="inlineStr">
        <is>
          <t>contact@cpas-lens.be</t>
        </is>
      </c>
      <c r="H7" t="inlineStr">
        <is>
          <t>065/32.48.90</t>
        </is>
      </c>
      <c r="J7" t="inlineStr">
        <is>
          <t>https://cpaslens.be/</t>
        </is>
      </c>
      <c r="K7" t="n">
        <v>78</v>
      </c>
      <c r="L7" t="inlineStr">
        <is>
          <t>A qualifier</t>
        </is>
      </c>
      <c r="M7" t="inlineStr">
        <is>
          <t>Haute</t>
        </is>
      </c>
      <c r="N7" t="inlineStr">
        <is>
          <t>Identifier interlocuteur + envoyer email J0</t>
        </is>
      </c>
      <c r="O7" t="inlineStr">
        <is>
          <t>2026-04-27</t>
        </is>
      </c>
      <c r="P7" t="inlineStr">
        <is>
          <t>Papy Peter</t>
        </is>
      </c>
      <c r="Q7" t="inlineStr">
        <is>
          <t>Commune proche Mons, services sociaux actifs</t>
        </is>
      </c>
      <c r="R7" t="inlineStr">
        <is>
          <t>2026-04-24</t>
        </is>
      </c>
      <c r="S7" t="inlineStr">
        <is>
          <t>CPAS;Lens;agriculture sociale</t>
        </is>
      </c>
      <c r="T7" t="inlineStr">
        <is>
          <t>Qualified</t>
        </is>
      </c>
      <c r="U7" t="n">
        <v>4</v>
      </c>
      <c r="V7" t="n">
        <v>3</v>
      </c>
      <c r="W7" t="n">
        <v>2</v>
      </c>
      <c r="X7" t="n">
        <v>3</v>
      </c>
      <c r="Z7" t="inlineStr">
        <is>
          <t>2026-04-25</t>
        </is>
      </c>
      <c r="AA7" t="n">
        <v>1500</v>
      </c>
    </row>
    <row r="8">
      <c r="A8" t="inlineStr">
        <is>
          <t>P-0007</t>
        </is>
      </c>
      <c r="B8" t="inlineStr">
        <is>
          <t>CPAS</t>
        </is>
      </c>
      <c r="C8" t="inlineStr">
        <is>
          <t>CPAS de Quaregnon</t>
        </is>
      </c>
      <c r="D8" t="inlineStr">
        <is>
          <t>Quaregnon</t>
        </is>
      </c>
      <c r="F8" t="inlineStr">
        <is>
          <t>Direction / Service social</t>
        </is>
      </c>
      <c r="G8" t="inlineStr">
        <is>
          <t>accueil@cpas.quaregnon.be</t>
        </is>
      </c>
      <c r="H8" t="inlineStr">
        <is>
          <t>065/95 66 00</t>
        </is>
      </c>
      <c r="J8" t="inlineStr">
        <is>
          <t>https://www.quaregnon.be/ma-commune/social/le-centre-public-daction-sociale</t>
        </is>
      </c>
      <c r="K8" t="n">
        <v>78</v>
      </c>
      <c r="L8" t="inlineStr">
        <is>
          <t>A qualifier</t>
        </is>
      </c>
      <c r="M8" t="inlineStr">
        <is>
          <t>Haute</t>
        </is>
      </c>
      <c r="N8" t="inlineStr">
        <is>
          <t>Identifier interlocuteur + envoyer email J0</t>
        </is>
      </c>
      <c r="O8" t="inlineStr">
        <is>
          <t>2026-04-27</t>
        </is>
      </c>
      <c r="P8" t="inlineStr">
        <is>
          <t>Papy Peter</t>
        </is>
      </c>
      <c r="Q8" t="inlineStr">
        <is>
          <t>Email decode depuis page officielle</t>
        </is>
      </c>
      <c r="R8" t="inlineStr">
        <is>
          <t>2026-04-24</t>
        </is>
      </c>
      <c r="S8" t="inlineStr">
        <is>
          <t>CPAS;Quaregnon;agriculture sociale</t>
        </is>
      </c>
      <c r="T8" t="inlineStr">
        <is>
          <t>Qualified</t>
        </is>
      </c>
      <c r="U8" t="n">
        <v>4</v>
      </c>
      <c r="V8" t="n">
        <v>3</v>
      </c>
      <c r="W8" t="n">
        <v>2</v>
      </c>
      <c r="X8" t="n">
        <v>3</v>
      </c>
      <c r="Z8" t="inlineStr">
        <is>
          <t>2026-04-25</t>
        </is>
      </c>
      <c r="AA8" t="n">
        <v>1500</v>
      </c>
    </row>
    <row r="9">
      <c r="A9" t="inlineStr">
        <is>
          <t>P-0008</t>
        </is>
      </c>
      <c r="B9" t="inlineStr">
        <is>
          <t>CPAS</t>
        </is>
      </c>
      <c r="C9" t="inlineStr">
        <is>
          <t>CPAS de Frameries</t>
        </is>
      </c>
      <c r="D9" t="inlineStr">
        <is>
          <t>Frameries</t>
        </is>
      </c>
      <c r="F9" t="inlineStr">
        <is>
          <t>Direction / Service social</t>
        </is>
      </c>
      <c r="J9" t="inlineStr">
        <is>
          <t>https://www.frameries.be/cpas/accueil</t>
        </is>
      </c>
      <c r="K9" t="n">
        <v>78</v>
      </c>
      <c r="L9" t="inlineStr">
        <is>
          <t>A qualifier</t>
        </is>
      </c>
      <c r="M9" t="inlineStr">
        <is>
          <t>Haute</t>
        </is>
      </c>
      <c r="N9" t="inlineStr">
        <is>
          <t>Identifier interlocuteur + envoyer email J0</t>
        </is>
      </c>
      <c r="O9" t="inlineStr">
        <is>
          <t>2026-04-27</t>
        </is>
      </c>
      <c r="P9" t="inlineStr">
        <is>
          <t>Papy Peter</t>
        </is>
      </c>
      <c r="Q9" t="inlineStr">
        <is>
          <t>A qualifier via formulaire/contact officiel</t>
        </is>
      </c>
      <c r="R9" t="inlineStr">
        <is>
          <t>2026-04-24</t>
        </is>
      </c>
      <c r="S9" t="inlineStr">
        <is>
          <t>CPAS;Frameries;agriculture sociale</t>
        </is>
      </c>
      <c r="T9" t="inlineStr">
        <is>
          <t>Qualified</t>
        </is>
      </c>
      <c r="U9" t="n">
        <v>4</v>
      </c>
      <c r="V9" t="n">
        <v>3</v>
      </c>
      <c r="W9" t="n">
        <v>2</v>
      </c>
      <c r="X9" t="n">
        <v>3</v>
      </c>
      <c r="Z9" t="inlineStr">
        <is>
          <t>2026-04-25</t>
        </is>
      </c>
      <c r="AA9" t="n">
        <v>1500</v>
      </c>
    </row>
    <row r="10">
      <c r="A10" t="inlineStr">
        <is>
          <t>P-0009</t>
        </is>
      </c>
      <c r="B10" t="inlineStr">
        <is>
          <t>CPAS</t>
        </is>
      </c>
      <c r="C10" t="inlineStr">
        <is>
          <t>CPAS de Jurbise</t>
        </is>
      </c>
      <c r="D10" t="inlineStr">
        <is>
          <t>Jurbise</t>
        </is>
      </c>
      <c r="F10" t="inlineStr">
        <is>
          <t>Direction / Service social</t>
        </is>
      </c>
      <c r="J10" t="inlineStr">
        <is>
          <t>https://cpas.jurbise.be/</t>
        </is>
      </c>
      <c r="K10" t="n">
        <v>78</v>
      </c>
      <c r="L10" t="inlineStr">
        <is>
          <t>A qualifier</t>
        </is>
      </c>
      <c r="M10" t="inlineStr">
        <is>
          <t>Haute</t>
        </is>
      </c>
      <c r="N10" t="inlineStr">
        <is>
          <t>Identifier interlocuteur + envoyer email J0</t>
        </is>
      </c>
      <c r="O10" t="inlineStr">
        <is>
          <t>2026-04-27</t>
        </is>
      </c>
      <c r="P10" t="inlineStr">
        <is>
          <t>Papy Peter</t>
        </is>
      </c>
      <c r="Q10" t="inlineStr">
        <is>
          <t>A qualifier contact direct</t>
        </is>
      </c>
      <c r="R10" t="inlineStr">
        <is>
          <t>2026-04-24</t>
        </is>
      </c>
      <c r="S10" t="inlineStr">
        <is>
          <t>CPAS;Jurbise;agriculture sociale</t>
        </is>
      </c>
      <c r="T10" t="inlineStr">
        <is>
          <t>Qualified</t>
        </is>
      </c>
      <c r="U10" t="n">
        <v>4</v>
      </c>
      <c r="V10" t="n">
        <v>3</v>
      </c>
      <c r="W10" t="n">
        <v>2</v>
      </c>
      <c r="X10" t="n">
        <v>3</v>
      </c>
      <c r="Z10" t="inlineStr">
        <is>
          <t>2026-04-25</t>
        </is>
      </c>
      <c r="AA10" t="n">
        <v>1500</v>
      </c>
    </row>
    <row r="11">
      <c r="A11" t="inlineStr">
        <is>
          <t>P-0010</t>
        </is>
      </c>
      <c r="B11" t="inlineStr">
        <is>
          <t>CPAS</t>
        </is>
      </c>
      <c r="C11" t="inlineStr">
        <is>
          <t>CPAS de Boussu</t>
        </is>
      </c>
      <c r="D11" t="inlineStr">
        <is>
          <t>Boussu</t>
        </is>
      </c>
      <c r="F11" t="inlineStr">
        <is>
          <t>Direction / Service social</t>
        </is>
      </c>
      <c r="H11" t="inlineStr">
        <is>
          <t>+3265717300</t>
        </is>
      </c>
      <c r="J11" t="inlineStr">
        <is>
          <t>https://www.boussu.be/ma-commune/vie-politique/conseil-de-laction-sociale-cpas</t>
        </is>
      </c>
      <c r="K11" t="n">
        <v>78</v>
      </c>
      <c r="L11" t="inlineStr">
        <is>
          <t>A qualifier</t>
        </is>
      </c>
      <c r="M11" t="inlineStr">
        <is>
          <t>Haute</t>
        </is>
      </c>
      <c r="N11" t="inlineStr">
        <is>
          <t>Identifier interlocuteur + envoyer email J0</t>
        </is>
      </c>
      <c r="O11" t="inlineStr">
        <is>
          <t>2026-04-27</t>
        </is>
      </c>
      <c r="P11" t="inlineStr">
        <is>
          <t>Papy Peter</t>
        </is>
      </c>
      <c r="Q11" t="inlineStr">
        <is>
          <t>A qualifier email service social</t>
        </is>
      </c>
      <c r="R11" t="inlineStr">
        <is>
          <t>2026-04-24</t>
        </is>
      </c>
      <c r="S11" t="inlineStr">
        <is>
          <t>CPAS;Boussu;agriculture sociale</t>
        </is>
      </c>
      <c r="T11" t="inlineStr">
        <is>
          <t>Qualified</t>
        </is>
      </c>
      <c r="U11" t="n">
        <v>4</v>
      </c>
      <c r="V11" t="n">
        <v>3</v>
      </c>
      <c r="W11" t="n">
        <v>2</v>
      </c>
      <c r="X11" t="n">
        <v>3</v>
      </c>
      <c r="Z11" t="inlineStr">
        <is>
          <t>2026-04-25</t>
        </is>
      </c>
      <c r="AA11" t="n">
        <v>1500</v>
      </c>
    </row>
    <row r="12">
      <c r="A12" t="inlineStr">
        <is>
          <t>P-0011</t>
        </is>
      </c>
      <c r="B12" t="inlineStr">
        <is>
          <t>CPAS</t>
        </is>
      </c>
      <c r="C12" t="inlineStr">
        <is>
          <t>CPAS de Colfontaine</t>
        </is>
      </c>
      <c r="D12" t="inlineStr">
        <is>
          <t>Colfontaine</t>
        </is>
      </c>
      <c r="F12" t="inlineStr">
        <is>
          <t>Direction / Service social</t>
        </is>
      </c>
      <c r="J12" t="inlineStr">
        <is>
          <t>https://www.colfontaine.be/ma-commune/social/cpas/contact</t>
        </is>
      </c>
      <c r="K12" t="n">
        <v>78</v>
      </c>
      <c r="L12" t="inlineStr">
        <is>
          <t>A qualifier</t>
        </is>
      </c>
      <c r="M12" t="inlineStr">
        <is>
          <t>Haute</t>
        </is>
      </c>
      <c r="N12" t="inlineStr">
        <is>
          <t>Identifier interlocuteur + envoyer email J0</t>
        </is>
      </c>
      <c r="O12" t="inlineStr">
        <is>
          <t>2026-04-27</t>
        </is>
      </c>
      <c r="P12" t="inlineStr">
        <is>
          <t>Papy Peter</t>
        </is>
      </c>
      <c r="Q12" t="inlineStr">
        <is>
          <t>A qualifier via page contact CPAS</t>
        </is>
      </c>
      <c r="R12" t="inlineStr">
        <is>
          <t>2026-04-24</t>
        </is>
      </c>
      <c r="S12" t="inlineStr">
        <is>
          <t>CPAS;Colfontaine;agriculture sociale</t>
        </is>
      </c>
      <c r="T12" t="inlineStr">
        <is>
          <t>Qualified</t>
        </is>
      </c>
      <c r="U12" t="n">
        <v>4</v>
      </c>
      <c r="V12" t="n">
        <v>3</v>
      </c>
      <c r="W12" t="n">
        <v>2</v>
      </c>
      <c r="X12" t="n">
        <v>3</v>
      </c>
      <c r="Z12" t="inlineStr">
        <is>
          <t>2026-04-25</t>
        </is>
      </c>
      <c r="AA12" t="n">
        <v>1500</v>
      </c>
    </row>
    <row r="13">
      <c r="A13" t="inlineStr">
        <is>
          <t>P-0012</t>
        </is>
      </c>
      <c r="B13" t="inlineStr">
        <is>
          <t>SPJ</t>
        </is>
      </c>
      <c r="C13" t="inlineStr">
        <is>
          <t>Service de Protection Judiciaire (SPJ) de Mons</t>
        </is>
      </c>
      <c r="D13" t="inlineStr">
        <is>
          <t>Mons</t>
        </is>
      </c>
      <c r="F13" t="inlineStr">
        <is>
          <t>Direction / Coordination</t>
        </is>
      </c>
      <c r="G13" t="inlineStr">
        <is>
          <t>spj.mons@cfwb.be</t>
        </is>
      </c>
      <c r="J13" t="inlineStr">
        <is>
          <t>https://websoc.hainaut.be/DI03876.htm</t>
        </is>
      </c>
      <c r="K13" t="n">
        <v>74</v>
      </c>
      <c r="L13" t="inlineStr">
        <is>
          <t>A qualifier</t>
        </is>
      </c>
      <c r="M13" t="inlineStr">
        <is>
          <t>Moyenne</t>
        </is>
      </c>
      <c r="N13" t="inlineStr">
        <is>
          <t>Identifier interlocuteur + proposer atelier pilote</t>
        </is>
      </c>
      <c r="O13" t="inlineStr">
        <is>
          <t>2026-04-28</t>
        </is>
      </c>
      <c r="P13" t="inlineStr">
        <is>
          <t>Papy Peter</t>
        </is>
      </c>
      <c r="Q13" t="inlineStr">
        <is>
          <t>Service de protection judiciaire jeunesse - Mons</t>
        </is>
      </c>
      <c r="R13" t="inlineStr">
        <is>
          <t>2026-04-24</t>
        </is>
      </c>
      <c r="S13" t="inlineStr">
        <is>
          <t>SPJ;Mons;jeunes</t>
        </is>
      </c>
      <c r="T13" t="inlineStr">
        <is>
          <t>Qualified</t>
        </is>
      </c>
      <c r="U13" t="n">
        <v>4</v>
      </c>
      <c r="V13" t="n">
        <v>3</v>
      </c>
      <c r="W13" t="n">
        <v>2</v>
      </c>
      <c r="X13" t="n">
        <v>3</v>
      </c>
      <c r="Z13" t="inlineStr">
        <is>
          <t>2026-04-26</t>
        </is>
      </c>
      <c r="AA13" t="n">
        <v>1200</v>
      </c>
    </row>
    <row r="14">
      <c r="A14" t="inlineStr">
        <is>
          <t>P-0013</t>
        </is>
      </c>
      <c r="B14" t="inlineStr">
        <is>
          <t>Jeunesse</t>
        </is>
      </c>
      <c r="C14" t="inlineStr">
        <is>
          <t>Infor Jeunes Mons</t>
        </is>
      </c>
      <c r="D14" t="inlineStr">
        <is>
          <t>Mons</t>
        </is>
      </c>
      <c r="F14" t="inlineStr">
        <is>
          <t>Direction / Coordination</t>
        </is>
      </c>
      <c r="G14" t="inlineStr">
        <is>
          <t>contact@inforjeunesmons.be</t>
        </is>
      </c>
      <c r="H14" t="inlineStr">
        <is>
          <t>(0)65 31 30 10</t>
        </is>
      </c>
      <c r="J14" t="inlineStr">
        <is>
          <t>https://inforjeunes.be/centre/mons/</t>
        </is>
      </c>
      <c r="K14" t="n">
        <v>74</v>
      </c>
      <c r="L14" t="inlineStr">
        <is>
          <t>A qualifier</t>
        </is>
      </c>
      <c r="M14" t="inlineStr">
        <is>
          <t>Moyenne</t>
        </is>
      </c>
      <c r="N14" t="inlineStr">
        <is>
          <t>Identifier interlocuteur + proposer atelier pilote</t>
        </is>
      </c>
      <c r="O14" t="inlineStr">
        <is>
          <t>2026-04-28</t>
        </is>
      </c>
      <c r="P14" t="inlineStr">
        <is>
          <t>Papy Peter</t>
        </is>
      </c>
      <c r="Q14" t="inlineStr">
        <is>
          <t>Structure jeunesse locale - relais orientation</t>
        </is>
      </c>
      <c r="R14" t="inlineStr">
        <is>
          <t>2026-04-24</t>
        </is>
      </c>
      <c r="S14" t="inlineStr">
        <is>
          <t>Jeunesse;Mons;jeunes</t>
        </is>
      </c>
      <c r="T14" t="inlineStr">
        <is>
          <t>Qualified</t>
        </is>
      </c>
      <c r="U14" t="n">
        <v>4</v>
      </c>
      <c r="V14" t="n">
        <v>3</v>
      </c>
      <c r="W14" t="n">
        <v>2</v>
      </c>
      <c r="X14" t="n">
        <v>3</v>
      </c>
      <c r="Z14" t="inlineStr">
        <is>
          <t>2026-04-26</t>
        </is>
      </c>
      <c r="AA14" t="n">
        <v>1200</v>
      </c>
    </row>
    <row r="15">
      <c r="A15" t="inlineStr">
        <is>
          <t>P-0014</t>
        </is>
      </c>
      <c r="B15" t="inlineStr">
        <is>
          <t>Foyer de jeunes</t>
        </is>
      </c>
      <c r="C15" t="inlineStr">
        <is>
          <t>Résidence Emile Rolland - Centre d'accueil</t>
        </is>
      </c>
      <c r="D15" t="inlineStr">
        <is>
          <t>Mons</t>
        </is>
      </c>
      <c r="F15" t="inlineStr">
        <is>
          <t>Direction / Coordination</t>
        </is>
      </c>
      <c r="H15" t="inlineStr">
        <is>
          <t>+32 (0)65/35 34 82</t>
        </is>
      </c>
      <c r="J15" t="inlineStr">
        <is>
          <t>https://www.residence-emilerolland.be/fr/centre-d-accueil</t>
        </is>
      </c>
      <c r="K15" t="n">
        <v>74</v>
      </c>
      <c r="L15" t="inlineStr">
        <is>
          <t>A qualifier</t>
        </is>
      </c>
      <c r="M15" t="inlineStr">
        <is>
          <t>Moyenne</t>
        </is>
      </c>
      <c r="N15" t="inlineStr">
        <is>
          <t>Identifier interlocuteur + proposer atelier pilote</t>
        </is>
      </c>
      <c r="O15" t="inlineStr">
        <is>
          <t>2026-04-28</t>
        </is>
      </c>
      <c r="P15" t="inlineStr">
        <is>
          <t>Papy Peter</t>
        </is>
      </c>
      <c r="Q15" t="inlineStr">
        <is>
          <t>Accueil jeunes en difficulté</t>
        </is>
      </c>
      <c r="R15" t="inlineStr">
        <is>
          <t>2026-04-24</t>
        </is>
      </c>
      <c r="S15" t="inlineStr">
        <is>
          <t>Foyer de jeunes;Mons;jeunes</t>
        </is>
      </c>
      <c r="T15" t="inlineStr">
        <is>
          <t>Qualified</t>
        </is>
      </c>
      <c r="U15" t="n">
        <v>4</v>
      </c>
      <c r="V15" t="n">
        <v>3</v>
      </c>
      <c r="W15" t="n">
        <v>2</v>
      </c>
      <c r="X15" t="n">
        <v>3</v>
      </c>
      <c r="Z15" t="inlineStr">
        <is>
          <t>2026-04-26</t>
        </is>
      </c>
      <c r="AA15" t="n">
        <v>1200</v>
      </c>
    </row>
    <row r="16">
      <c r="A16" t="inlineStr">
        <is>
          <t>P-0015</t>
        </is>
      </c>
      <c r="B16" t="inlineStr">
        <is>
          <t>Foyer de jeunes</t>
        </is>
      </c>
      <c r="C16" t="inlineStr">
        <is>
          <t>IACF Mons - Internat pour jeunes filles</t>
        </is>
      </c>
      <c r="D16" t="inlineStr">
        <is>
          <t>Mons</t>
        </is>
      </c>
      <c r="F16" t="inlineStr">
        <is>
          <t>Direction / Coordination</t>
        </is>
      </c>
      <c r="J16" t="inlineStr">
        <is>
          <t>https://iacf-mons.net/contact/</t>
        </is>
      </c>
      <c r="K16" t="n">
        <v>74</v>
      </c>
      <c r="L16" t="inlineStr">
        <is>
          <t>A qualifier</t>
        </is>
      </c>
      <c r="M16" t="inlineStr">
        <is>
          <t>Moyenne</t>
        </is>
      </c>
      <c r="N16" t="inlineStr">
        <is>
          <t>Identifier interlocuteur + proposer atelier pilote</t>
        </is>
      </c>
      <c r="O16" t="inlineStr">
        <is>
          <t>2026-04-28</t>
        </is>
      </c>
      <c r="P16" t="inlineStr">
        <is>
          <t>Papy Peter</t>
        </is>
      </c>
      <c r="Q16" t="inlineStr">
        <is>
          <t>Internat jeunes - prise de contact via formulaire</t>
        </is>
      </c>
      <c r="R16" t="inlineStr">
        <is>
          <t>2026-04-24</t>
        </is>
      </c>
      <c r="S16" t="inlineStr">
        <is>
          <t>Foyer de jeunes;Mons;jeunes</t>
        </is>
      </c>
      <c r="T16" t="inlineStr">
        <is>
          <t>Qualified</t>
        </is>
      </c>
      <c r="U16" t="n">
        <v>4</v>
      </c>
      <c r="V16" t="n">
        <v>3</v>
      </c>
      <c r="W16" t="n">
        <v>2</v>
      </c>
      <c r="X16" t="n">
        <v>3</v>
      </c>
      <c r="Z16" t="inlineStr">
        <is>
          <t>2026-04-26</t>
        </is>
      </c>
      <c r="AA16" t="n">
        <v>1200</v>
      </c>
    </row>
    <row r="17">
      <c r="A17" t="inlineStr">
        <is>
          <t>P-0016</t>
        </is>
      </c>
      <c r="B17" t="inlineStr">
        <is>
          <t>Jeunesse</t>
        </is>
      </c>
      <c r="C17" t="inlineStr">
        <is>
          <t>Agora Jeunes (AMO)</t>
        </is>
      </c>
      <c r="D17" t="inlineStr">
        <is>
          <t>Mons</t>
        </is>
      </c>
      <c r="F17" t="inlineStr">
        <is>
          <t>Direction / Coordination</t>
        </is>
      </c>
      <c r="J17" t="inlineStr">
        <is>
          <t>https://agorajeunes.be/</t>
        </is>
      </c>
      <c r="K17" t="n">
        <v>74</v>
      </c>
      <c r="L17" t="inlineStr">
        <is>
          <t>A qualifier</t>
        </is>
      </c>
      <c r="M17" t="inlineStr">
        <is>
          <t>Moyenne</t>
        </is>
      </c>
      <c r="N17" t="inlineStr">
        <is>
          <t>Identifier interlocuteur + proposer atelier pilote</t>
        </is>
      </c>
      <c r="O17" t="inlineStr">
        <is>
          <t>2026-04-28</t>
        </is>
      </c>
      <c r="P17" t="inlineStr">
        <is>
          <t>Papy Peter</t>
        </is>
      </c>
      <c r="Q17" t="inlineStr">
        <is>
          <t>Aide en milieu ouvert pour jeunes</t>
        </is>
      </c>
      <c r="R17" t="inlineStr">
        <is>
          <t>2026-04-24</t>
        </is>
      </c>
      <c r="S17" t="inlineStr">
        <is>
          <t>Jeunesse;Mons;jeunes</t>
        </is>
      </c>
      <c r="T17" t="inlineStr">
        <is>
          <t>Qualified</t>
        </is>
      </c>
      <c r="U17" t="n">
        <v>4</v>
      </c>
      <c r="V17" t="n">
        <v>3</v>
      </c>
      <c r="W17" t="n">
        <v>2</v>
      </c>
      <c r="X17" t="n">
        <v>3</v>
      </c>
      <c r="Z17" t="inlineStr">
        <is>
          <t>2026-04-26</t>
        </is>
      </c>
      <c r="AA17" t="n">
        <v>1200</v>
      </c>
    </row>
    <row r="18">
      <c r="A18" t="inlineStr">
        <is>
          <t>P-0017</t>
        </is>
      </c>
      <c r="B18" t="inlineStr">
        <is>
          <t>Hébergement SDF</t>
        </is>
      </c>
      <c r="C18" t="inlineStr">
        <is>
          <t>Abri de nuit - CPAS de Mons</t>
        </is>
      </c>
      <c r="D18" t="inlineStr">
        <is>
          <t>Mons</t>
        </is>
      </c>
      <c r="F18" t="inlineStr">
        <is>
          <t>Responsable service hébergement</t>
        </is>
      </c>
      <c r="G18" t="inlineStr">
        <is>
          <t>abridenuit@cpas.mons.be</t>
        </is>
      </c>
      <c r="H18" t="inlineStr">
        <is>
          <t>+3265347674</t>
        </is>
      </c>
      <c r="J18" t="inlineStr">
        <is>
          <t>https://www.mons.be/fr/cpas/aides-sociales/aide-aux-sans-abris-1/abri-de-nuit</t>
        </is>
      </c>
      <c r="K18" t="n">
        <v>82</v>
      </c>
      <c r="L18" t="inlineStr">
        <is>
          <t>A qualifier</t>
        </is>
      </c>
      <c r="M18" t="inlineStr">
        <is>
          <t>Haute</t>
        </is>
      </c>
      <c r="N18" t="inlineStr">
        <is>
          <t>Identifier interlocuteur + proposer pilote jardin thérapeutique</t>
        </is>
      </c>
      <c r="O18" t="inlineStr">
        <is>
          <t>2026-04-27</t>
        </is>
      </c>
      <c r="P18" t="inlineStr">
        <is>
          <t>Papy Peter</t>
        </is>
      </c>
      <c r="Q18" t="inlineStr">
        <is>
          <t>Hébergement de nuit, capacité 16 places</t>
        </is>
      </c>
      <c r="R18" t="inlineStr">
        <is>
          <t>2026-04-24</t>
        </is>
      </c>
      <c r="S18" t="inlineStr">
        <is>
          <t>hebergement sdf;Mons;urgence sociale</t>
        </is>
      </c>
      <c r="T18" t="inlineStr">
        <is>
          <t>Qualified</t>
        </is>
      </c>
      <c r="U18" t="n">
        <v>5</v>
      </c>
      <c r="V18" t="n">
        <v>3</v>
      </c>
      <c r="W18" t="n">
        <v>2</v>
      </c>
      <c r="X18" t="n">
        <v>4</v>
      </c>
      <c r="Z18" t="inlineStr">
        <is>
          <t>2026-04-25</t>
        </is>
      </c>
      <c r="AA18" t="n">
        <v>1800</v>
      </c>
    </row>
    <row r="19">
      <c r="A19" t="inlineStr">
        <is>
          <t>P-0018</t>
        </is>
      </c>
      <c r="B19" t="inlineStr">
        <is>
          <t>Hébergement SDF</t>
        </is>
      </c>
      <c r="C19" t="inlineStr">
        <is>
          <t>Abri de jour L'Escale - CPAS de Mons</t>
        </is>
      </c>
      <c r="D19" t="inlineStr">
        <is>
          <t>Mons</t>
        </is>
      </c>
      <c r="F19" t="inlineStr">
        <is>
          <t>Responsable service de jour</t>
        </is>
      </c>
      <c r="H19" t="inlineStr">
        <is>
          <t>+3265408212</t>
        </is>
      </c>
      <c r="J19" t="inlineStr">
        <is>
          <t>https://www.mons.be/fr/cpas/aides-sociales/aide-aux-sans-abris-1/abri-de-jour</t>
        </is>
      </c>
      <c r="K19" t="n">
        <v>82</v>
      </c>
      <c r="L19" t="inlineStr">
        <is>
          <t>A qualifier</t>
        </is>
      </c>
      <c r="M19" t="inlineStr">
        <is>
          <t>Haute</t>
        </is>
      </c>
      <c r="N19" t="inlineStr">
        <is>
          <t>Identifier interlocuteur + proposer pilote jardin thérapeutique</t>
        </is>
      </c>
      <c r="O19" t="inlineStr">
        <is>
          <t>2026-04-27</t>
        </is>
      </c>
      <c r="P19" t="inlineStr">
        <is>
          <t>Papy Peter</t>
        </is>
      </c>
      <c r="Q19" t="inlineStr">
        <is>
          <t>Accueil de jour, suivi social et maraudes</t>
        </is>
      </c>
      <c r="R19" t="inlineStr">
        <is>
          <t>2026-04-24</t>
        </is>
      </c>
      <c r="S19" t="inlineStr">
        <is>
          <t>hebergement sdf;Mons;urgence sociale</t>
        </is>
      </c>
      <c r="T19" t="inlineStr">
        <is>
          <t>Qualified</t>
        </is>
      </c>
      <c r="U19" t="n">
        <v>5</v>
      </c>
      <c r="V19" t="n">
        <v>3</v>
      </c>
      <c r="W19" t="n">
        <v>2</v>
      </c>
      <c r="X19" t="n">
        <v>4</v>
      </c>
      <c r="Z19" t="inlineStr">
        <is>
          <t>2026-04-25</t>
        </is>
      </c>
      <c r="AA19" t="n">
        <v>1800</v>
      </c>
    </row>
    <row r="20">
      <c r="A20" t="inlineStr">
        <is>
          <t>P-0019</t>
        </is>
      </c>
      <c r="B20" t="inlineStr">
        <is>
          <t>Hébergement SDF</t>
        </is>
      </c>
      <c r="C20" t="inlineStr">
        <is>
          <t>Dispositif d'Urgence Sociale (DUS) - CPAS de Mons</t>
        </is>
      </c>
      <c r="D20" t="inlineStr">
        <is>
          <t>Mons</t>
        </is>
      </c>
      <c r="F20" t="inlineStr">
        <is>
          <t>Coordination urgence sociale</t>
        </is>
      </c>
      <c r="G20" t="inlineStr">
        <is>
          <t>info@cpas.mons.be</t>
        </is>
      </c>
      <c r="H20" t="inlineStr">
        <is>
          <t>065 84 01 01</t>
        </is>
      </c>
      <c r="J20" t="inlineStr">
        <is>
          <t>https://www.mons.be/fr/cpas/aides-sociales/aide-aux-sans-abris-1/dispositif-durgence-sociale-dus</t>
        </is>
      </c>
      <c r="K20" t="n">
        <v>82</v>
      </c>
      <c r="L20" t="inlineStr">
        <is>
          <t>A qualifier</t>
        </is>
      </c>
      <c r="M20" t="inlineStr">
        <is>
          <t>Haute</t>
        </is>
      </c>
      <c r="N20" t="inlineStr">
        <is>
          <t>Identifier interlocuteur + proposer pilote jardin thérapeutique</t>
        </is>
      </c>
      <c r="O20" t="inlineStr">
        <is>
          <t>2026-04-27</t>
        </is>
      </c>
      <c r="P20" t="inlineStr">
        <is>
          <t>Papy Peter</t>
        </is>
      </c>
      <c r="Q20" t="inlineStr">
        <is>
          <t>Urgence sociale 24/7 (soir/week-end/jour férié)</t>
        </is>
      </c>
      <c r="R20" t="inlineStr">
        <is>
          <t>2026-04-24</t>
        </is>
      </c>
      <c r="S20" t="inlineStr">
        <is>
          <t>hebergement sdf;Mons;urgence sociale</t>
        </is>
      </c>
      <c r="T20" t="inlineStr">
        <is>
          <t>Qualified</t>
        </is>
      </c>
      <c r="U20" t="n">
        <v>5</v>
      </c>
      <c r="V20" t="n">
        <v>3</v>
      </c>
      <c r="W20" t="n">
        <v>2</v>
      </c>
      <c r="X20" t="n">
        <v>4</v>
      </c>
      <c r="Z20" t="inlineStr">
        <is>
          <t>2026-04-25</t>
        </is>
      </c>
      <c r="AA20" t="n">
        <v>1800</v>
      </c>
    </row>
    <row r="21">
      <c r="A21" t="inlineStr">
        <is>
          <t>P-0020</t>
        </is>
      </c>
      <c r="B21" t="inlineStr">
        <is>
          <t>Hébergement SDF</t>
        </is>
      </c>
      <c r="C21" t="inlineStr">
        <is>
          <t>Relais Social Urbain Mons-Borinage</t>
        </is>
      </c>
      <c r="D21" t="inlineStr">
        <is>
          <t>Mons</t>
        </is>
      </c>
      <c r="F21" t="inlineStr">
        <is>
          <t>Coordination générale</t>
        </is>
      </c>
      <c r="G21" t="inlineStr">
        <is>
          <t>coordination.generale@rsumb.be</t>
        </is>
      </c>
      <c r="H21" t="inlineStr">
        <is>
          <t>065 84 34 19</t>
        </is>
      </c>
      <c r="J21" t="inlineStr">
        <is>
          <t>https://www.rsumb.be/</t>
        </is>
      </c>
      <c r="K21" t="n">
        <v>82</v>
      </c>
      <c r="L21" t="inlineStr">
        <is>
          <t>A qualifier</t>
        </is>
      </c>
      <c r="M21" t="inlineStr">
        <is>
          <t>Haute</t>
        </is>
      </c>
      <c r="N21" t="inlineStr">
        <is>
          <t>Identifier interlocuteur + proposer pilote jardin thérapeutique</t>
        </is>
      </c>
      <c r="O21" t="inlineStr">
        <is>
          <t>2026-04-27</t>
        </is>
      </c>
      <c r="P21" t="inlineStr">
        <is>
          <t>Papy Peter</t>
        </is>
      </c>
      <c r="Q21" t="inlineStr">
        <is>
          <t>Coordination réseau précarité et sans-abrisme</t>
        </is>
      </c>
      <c r="R21" t="inlineStr">
        <is>
          <t>2026-04-24</t>
        </is>
      </c>
      <c r="S21" t="inlineStr">
        <is>
          <t>hebergement sdf;Mons;urgence sociale</t>
        </is>
      </c>
      <c r="T21" t="inlineStr">
        <is>
          <t>Qualified</t>
        </is>
      </c>
      <c r="U21" t="n">
        <v>5</v>
      </c>
      <c r="V21" t="n">
        <v>3</v>
      </c>
      <c r="W21" t="n">
        <v>2</v>
      </c>
      <c r="X21" t="n">
        <v>4</v>
      </c>
      <c r="Z21" t="inlineStr">
        <is>
          <t>2026-04-25</t>
        </is>
      </c>
      <c r="AA21" t="n">
        <v>1800</v>
      </c>
    </row>
    <row r="22">
      <c r="A22" t="inlineStr">
        <is>
          <t>P-0021</t>
        </is>
      </c>
      <c r="B22" t="inlineStr">
        <is>
          <t>Hébergement SDF</t>
        </is>
      </c>
      <c r="C22" t="inlineStr">
        <is>
          <t>Pôle Relogement - RSUMB</t>
        </is>
      </c>
      <c r="D22" t="inlineStr">
        <is>
          <t>Mons</t>
        </is>
      </c>
      <c r="F22" t="inlineStr">
        <is>
          <t>Coordination relogement</t>
        </is>
      </c>
      <c r="G22" t="inlineStr">
        <is>
          <t>polerelogement@rsumb.be</t>
        </is>
      </c>
      <c r="H22" t="inlineStr">
        <is>
          <t>0493 38 86 96</t>
        </is>
      </c>
      <c r="J22" t="inlineStr">
        <is>
          <t>https://www.rsumb.be/</t>
        </is>
      </c>
      <c r="K22" t="n">
        <v>82</v>
      </c>
      <c r="L22" t="inlineStr">
        <is>
          <t>A qualifier</t>
        </is>
      </c>
      <c r="M22" t="inlineStr">
        <is>
          <t>Haute</t>
        </is>
      </c>
      <c r="N22" t="inlineStr">
        <is>
          <t>Identifier interlocuteur + proposer pilote jardin thérapeutique</t>
        </is>
      </c>
      <c r="O22" t="inlineStr">
        <is>
          <t>2026-04-27</t>
        </is>
      </c>
      <c r="P22" t="inlineStr">
        <is>
          <t>Papy Peter</t>
        </is>
      </c>
      <c r="Q22" t="inlineStr">
        <is>
          <t>Housing First / capteur logement / primo-arrivants</t>
        </is>
      </c>
      <c r="R22" t="inlineStr">
        <is>
          <t>2026-04-24</t>
        </is>
      </c>
      <c r="S22" t="inlineStr">
        <is>
          <t>hebergement sdf;Mons;urgence sociale</t>
        </is>
      </c>
      <c r="T22" t="inlineStr">
        <is>
          <t>Qualified</t>
        </is>
      </c>
      <c r="U22" t="n">
        <v>5</v>
      </c>
      <c r="V22" t="n">
        <v>3</v>
      </c>
      <c r="W22" t="n">
        <v>2</v>
      </c>
      <c r="X22" t="n">
        <v>4</v>
      </c>
      <c r="Z22" t="inlineStr">
        <is>
          <t>2026-04-25</t>
        </is>
      </c>
      <c r="AA22" t="n">
        <v>1800</v>
      </c>
    </row>
    <row r="23">
      <c r="A23" t="inlineStr">
        <is>
          <t>P-0022</t>
        </is>
      </c>
      <c r="B23" t="inlineStr">
        <is>
          <t>Hébergement SDF</t>
        </is>
      </c>
      <c r="C23" t="inlineStr">
        <is>
          <t>Maison d'accueil Saint-Paul</t>
        </is>
      </c>
      <c r="D23" t="inlineStr">
        <is>
          <t>Mons</t>
        </is>
      </c>
      <c r="F23" t="inlineStr">
        <is>
          <t>Direction / accueil</t>
        </is>
      </c>
      <c r="H23" t="inlineStr">
        <is>
          <t>065 34 80 94</t>
        </is>
      </c>
      <c r="J23" t="inlineStr">
        <is>
          <t>https://www.mons.be/fr/cpas/aides-sociales/aide-aux-sans-abris-1/dispositif-durgence-sociale-dus</t>
        </is>
      </c>
      <c r="K23" t="n">
        <v>82</v>
      </c>
      <c r="L23" t="inlineStr">
        <is>
          <t>A qualifier</t>
        </is>
      </c>
      <c r="M23" t="inlineStr">
        <is>
          <t>Haute</t>
        </is>
      </c>
      <c r="N23" t="inlineStr">
        <is>
          <t>Identifier interlocuteur + proposer pilote jardin thérapeutique</t>
        </is>
      </c>
      <c r="O23" t="inlineStr">
        <is>
          <t>2026-04-27</t>
        </is>
      </c>
      <c r="P23" t="inlineStr">
        <is>
          <t>Papy Peter</t>
        </is>
      </c>
      <c r="Q23" t="inlineStr">
        <is>
          <t>Maison d'accueil hommes - logement temporaire</t>
        </is>
      </c>
      <c r="R23" t="inlineStr">
        <is>
          <t>2026-04-24</t>
        </is>
      </c>
      <c r="S23" t="inlineStr">
        <is>
          <t>hebergement sdf;Mons;urgence sociale</t>
        </is>
      </c>
      <c r="T23" t="inlineStr">
        <is>
          <t>Qualified</t>
        </is>
      </c>
      <c r="U23" t="n">
        <v>5</v>
      </c>
      <c r="V23" t="n">
        <v>3</v>
      </c>
      <c r="W23" t="n">
        <v>2</v>
      </c>
      <c r="X23" t="n">
        <v>4</v>
      </c>
      <c r="Z23" t="inlineStr">
        <is>
          <t>2026-04-25</t>
        </is>
      </c>
      <c r="AA23" t="n">
        <v>1800</v>
      </c>
    </row>
    <row r="24">
      <c r="A24" t="inlineStr">
        <is>
          <t>P-0023</t>
        </is>
      </c>
      <c r="B24" t="inlineStr">
        <is>
          <t>Hôpital psy</t>
        </is>
      </c>
      <c r="C24" t="inlineStr">
        <is>
          <t>Campus Santé Mentale Saint-Bernard</t>
        </is>
      </c>
      <c r="D24" t="inlineStr">
        <is>
          <t>Manage</t>
        </is>
      </c>
      <c r="F24" t="inlineStr">
        <is>
          <t>Direction / admissions</t>
        </is>
      </c>
      <c r="G24" t="inlineStr">
        <is>
          <t>info@saintbernard.ofc.be</t>
        </is>
      </c>
      <c r="H24" t="inlineStr">
        <is>
          <t>064 / 54 14 09</t>
        </is>
      </c>
      <c r="J24" t="inlineStr">
        <is>
          <t>https://www.csm-st-bernard.be/</t>
        </is>
      </c>
      <c r="K24" t="n">
        <v>80</v>
      </c>
      <c r="L24" t="inlineStr">
        <is>
          <t>A qualifier</t>
        </is>
      </c>
      <c r="M24" t="inlineStr">
        <is>
          <t>Haute</t>
        </is>
      </c>
      <c r="N24" t="inlineStr">
        <is>
          <t>Identifier interlocuteur programme thérapeutique/jardin</t>
        </is>
      </c>
      <c r="O24" t="inlineStr">
        <is>
          <t>2026-04-28</t>
        </is>
      </c>
      <c r="P24" t="inlineStr">
        <is>
          <t>Papy Peter</t>
        </is>
      </c>
      <c r="Q24" t="inlineStr">
        <is>
          <t>Hôpital psychiatrique + structures résidentielles</t>
        </is>
      </c>
      <c r="R24" t="inlineStr">
        <is>
          <t>2026-04-24</t>
        </is>
      </c>
      <c r="S24" t="inlineStr">
        <is>
          <t>Hôpital psy;Manage;therapeutique</t>
        </is>
      </c>
      <c r="T24" t="inlineStr">
        <is>
          <t>Qualified</t>
        </is>
      </c>
      <c r="U24" t="n">
        <v>4</v>
      </c>
      <c r="V24" t="n">
        <v>3</v>
      </c>
      <c r="W24" t="n">
        <v>2</v>
      </c>
      <c r="X24" t="n">
        <v>3</v>
      </c>
      <c r="Z24" t="inlineStr">
        <is>
          <t>2026-04-26</t>
        </is>
      </c>
      <c r="AA24" t="n">
        <v>2000</v>
      </c>
    </row>
    <row r="25">
      <c r="A25" t="inlineStr">
        <is>
          <t>P-0024</t>
        </is>
      </c>
      <c r="B25" t="inlineStr">
        <is>
          <t>Hôpital psy</t>
        </is>
      </c>
      <c r="C25" t="inlineStr">
        <is>
          <t>CHP Le Chêne aux Haies</t>
        </is>
      </c>
      <c r="D25" t="inlineStr">
        <is>
          <t>Mons</t>
        </is>
      </c>
      <c r="F25" t="inlineStr">
        <is>
          <t>Accueil / admissions</t>
        </is>
      </c>
      <c r="G25" t="inlineStr">
        <is>
          <t>info@chpchene.be</t>
        </is>
      </c>
      <c r="J25" t="inlineStr">
        <is>
          <t>https://www.chpchene.be/sites/default/files/Brochures/Brochure%20pour%20les%20stagiaires%20du%20d%C3%A9partement%20infirmier.pdf</t>
        </is>
      </c>
      <c r="K25" t="n">
        <v>80</v>
      </c>
      <c r="L25" t="inlineStr">
        <is>
          <t>A qualifier</t>
        </is>
      </c>
      <c r="M25" t="inlineStr">
        <is>
          <t>Haute</t>
        </is>
      </c>
      <c r="N25" t="inlineStr">
        <is>
          <t>Identifier interlocuteur programme thérapeutique/jardin</t>
        </is>
      </c>
      <c r="O25" t="inlineStr">
        <is>
          <t>2026-04-28</t>
        </is>
      </c>
      <c r="P25" t="inlineStr">
        <is>
          <t>Papy Peter</t>
        </is>
      </c>
      <c r="Q25" t="inlineStr">
        <is>
          <t>Centre hospitalier psychiatrique de Mons</t>
        </is>
      </c>
      <c r="R25" t="inlineStr">
        <is>
          <t>2026-04-24</t>
        </is>
      </c>
      <c r="S25" t="inlineStr">
        <is>
          <t>Hôpital psy;Mons;therapeutique</t>
        </is>
      </c>
      <c r="T25" t="inlineStr">
        <is>
          <t>Qualified</t>
        </is>
      </c>
      <c r="U25" t="n">
        <v>4</v>
      </c>
      <c r="V25" t="n">
        <v>3</v>
      </c>
      <c r="W25" t="n">
        <v>2</v>
      </c>
      <c r="X25" t="n">
        <v>3</v>
      </c>
      <c r="Z25" t="inlineStr">
        <is>
          <t>2026-04-26</t>
        </is>
      </c>
      <c r="AA25" t="n">
        <v>2000</v>
      </c>
    </row>
    <row r="26">
      <c r="A26" t="inlineStr">
        <is>
          <t>P-0025</t>
        </is>
      </c>
      <c r="B26" t="inlineStr">
        <is>
          <t>Santé mentale</t>
        </is>
      </c>
      <c r="C26" t="inlineStr">
        <is>
          <t>Service provincial de Santé mentale de Mons</t>
        </is>
      </c>
      <c r="D26" t="inlineStr">
        <is>
          <t>Mons</t>
        </is>
      </c>
      <c r="F26" t="inlineStr">
        <is>
          <t>Accueil service santé mentale</t>
        </is>
      </c>
      <c r="H26" t="inlineStr">
        <is>
          <t>065/220.310</t>
        </is>
      </c>
      <c r="J26" t="inlineStr">
        <is>
          <t>https://actionsociale.hainaut.be/wp-content/uploads/2020/07/Mons.pdf</t>
        </is>
      </c>
      <c r="K26" t="n">
        <v>80</v>
      </c>
      <c r="L26" t="inlineStr">
        <is>
          <t>A qualifier</t>
        </is>
      </c>
      <c r="M26" t="inlineStr">
        <is>
          <t>Haute</t>
        </is>
      </c>
      <c r="N26" t="inlineStr">
        <is>
          <t>Identifier interlocuteur programme thérapeutique/jardin</t>
        </is>
      </c>
      <c r="O26" t="inlineStr">
        <is>
          <t>2026-04-28</t>
        </is>
      </c>
      <c r="P26" t="inlineStr">
        <is>
          <t>Papy Peter</t>
        </is>
      </c>
      <c r="Q26" t="inlineStr">
        <is>
          <t>Accompagnement psy adultes/jeunes</t>
        </is>
      </c>
      <c r="R26" t="inlineStr">
        <is>
          <t>2026-04-24</t>
        </is>
      </c>
      <c r="S26" t="inlineStr">
        <is>
          <t>Santé mentale;Mons;therapeutique</t>
        </is>
      </c>
      <c r="T26" t="inlineStr">
        <is>
          <t>Qualified</t>
        </is>
      </c>
      <c r="U26" t="n">
        <v>4</v>
      </c>
      <c r="V26" t="n">
        <v>3</v>
      </c>
      <c r="W26" t="n">
        <v>2</v>
      </c>
      <c r="X26" t="n">
        <v>3</v>
      </c>
      <c r="Z26" t="inlineStr">
        <is>
          <t>2026-04-26</t>
        </is>
      </c>
      <c r="AA26" t="n">
        <v>2000</v>
      </c>
    </row>
    <row r="27">
      <c r="A27" t="inlineStr">
        <is>
          <t>P-0026</t>
        </is>
      </c>
      <c r="B27" t="inlineStr">
        <is>
          <t>Handicap mental</t>
        </is>
      </c>
      <c r="C27" t="inlineStr">
        <is>
          <t>Le Jardin des Fées</t>
        </is>
      </c>
      <c r="D27" t="inlineStr">
        <is>
          <t>Mons</t>
        </is>
      </c>
      <c r="F27" t="inlineStr">
        <is>
          <t>Direction pédagogique / admissions</t>
        </is>
      </c>
      <c r="H27" t="inlineStr">
        <is>
          <t>+32(0)65/65.35.53</t>
        </is>
      </c>
      <c r="J27" t="inlineStr">
        <is>
          <t>https://jardindesfees.be/contact.html</t>
        </is>
      </c>
      <c r="K27" t="n">
        <v>80</v>
      </c>
      <c r="L27" t="inlineStr">
        <is>
          <t>A qualifier</t>
        </is>
      </c>
      <c r="M27" t="inlineStr">
        <is>
          <t>Haute</t>
        </is>
      </c>
      <c r="N27" t="inlineStr">
        <is>
          <t>Identifier interlocuteur programme thérapeutique/jardin</t>
        </is>
      </c>
      <c r="O27" t="inlineStr">
        <is>
          <t>2026-04-28</t>
        </is>
      </c>
      <c r="P27" t="inlineStr">
        <is>
          <t>Papy Peter</t>
        </is>
      </c>
      <c r="Q27" t="inlineStr">
        <is>
          <t>Hébergement adultes handicap mental et troubles psychiatriques</t>
        </is>
      </c>
      <c r="R27" t="inlineStr">
        <is>
          <t>2026-04-24</t>
        </is>
      </c>
      <c r="S27" t="inlineStr">
        <is>
          <t>Handicap mental;Mons;therapeutique</t>
        </is>
      </c>
      <c r="T27" t="inlineStr">
        <is>
          <t>Qualified</t>
        </is>
      </c>
      <c r="U27" t="n">
        <v>4</v>
      </c>
      <c r="V27" t="n">
        <v>3</v>
      </c>
      <c r="W27" t="n">
        <v>2</v>
      </c>
      <c r="X27" t="n">
        <v>3</v>
      </c>
      <c r="Z27" t="inlineStr">
        <is>
          <t>2026-04-26</t>
        </is>
      </c>
      <c r="AA27" t="n">
        <v>2000</v>
      </c>
    </row>
    <row r="28">
      <c r="A28" t="inlineStr">
        <is>
          <t>P-0027</t>
        </is>
      </c>
      <c r="B28" t="inlineStr">
        <is>
          <t>Handicap mental</t>
        </is>
      </c>
      <c r="C28" t="inlineStr">
        <is>
          <t>SAA Mons - Service provincial accompagnement adultes handicap</t>
        </is>
      </c>
      <c r="D28" t="inlineStr">
        <is>
          <t>Mons</t>
        </is>
      </c>
      <c r="F28" t="inlineStr">
        <is>
          <t>Coordination accompagnement</t>
        </is>
      </c>
      <c r="G28" t="inlineStr">
        <is>
          <t>saa.mons@hainaut.be</t>
        </is>
      </c>
      <c r="H28" t="inlineStr">
        <is>
          <t>065 22 07 50</t>
        </is>
      </c>
      <c r="J28" t="inlineStr">
        <is>
          <t>https://monboreseau.be/fr/organismes/saa-mons</t>
        </is>
      </c>
      <c r="K28" t="n">
        <v>80</v>
      </c>
      <c r="L28" t="inlineStr">
        <is>
          <t>A qualifier</t>
        </is>
      </c>
      <c r="M28" t="inlineStr">
        <is>
          <t>Haute</t>
        </is>
      </c>
      <c r="N28" t="inlineStr">
        <is>
          <t>Identifier interlocuteur programme thérapeutique/jardin</t>
        </is>
      </c>
      <c r="O28" t="inlineStr">
        <is>
          <t>2026-04-28</t>
        </is>
      </c>
      <c r="P28" t="inlineStr">
        <is>
          <t>Papy Peter</t>
        </is>
      </c>
      <c r="Q28" t="inlineStr">
        <is>
          <t>Accompagnement adultes handicap intellectuel/sensoriel/physique</t>
        </is>
      </c>
      <c r="R28" t="inlineStr">
        <is>
          <t>2026-04-24</t>
        </is>
      </c>
      <c r="S28" t="inlineStr">
        <is>
          <t>Handicap mental;Mons;therapeutique</t>
        </is>
      </c>
      <c r="T28" t="inlineStr">
        <is>
          <t>Qualified</t>
        </is>
      </c>
      <c r="U28" t="n">
        <v>4</v>
      </c>
      <c r="V28" t="n">
        <v>3</v>
      </c>
      <c r="W28" t="n">
        <v>2</v>
      </c>
      <c r="X28" t="n">
        <v>3</v>
      </c>
      <c r="Z28" t="inlineStr">
        <is>
          <t>2026-04-26</t>
        </is>
      </c>
      <c r="AA28" t="n">
        <v>2000</v>
      </c>
    </row>
    <row r="29">
      <c r="A29" t="inlineStr">
        <is>
          <t>P-0028</t>
        </is>
      </c>
      <c r="B29" t="inlineStr">
        <is>
          <t>Handicap mental</t>
        </is>
      </c>
      <c r="C29" t="inlineStr">
        <is>
          <t>La Villa (SRNA) - Ghlin</t>
        </is>
      </c>
      <c r="D29" t="inlineStr">
        <is>
          <t>Ghlin</t>
        </is>
      </c>
      <c r="F29" t="inlineStr">
        <is>
          <t>Service résidentiel adultes</t>
        </is>
      </c>
      <c r="J29" t="inlineStr">
        <is>
          <t>https://actionsociale.hainaut.be/handicap/coordination-generale-imp/cpesm/hebergement-de-nuit-pour-adultes/</t>
        </is>
      </c>
      <c r="K29" t="n">
        <v>80</v>
      </c>
      <c r="L29" t="inlineStr">
        <is>
          <t>A qualifier</t>
        </is>
      </c>
      <c r="M29" t="inlineStr">
        <is>
          <t>Haute</t>
        </is>
      </c>
      <c r="N29" t="inlineStr">
        <is>
          <t>Identifier interlocuteur programme thérapeutique/jardin</t>
        </is>
      </c>
      <c r="O29" t="inlineStr">
        <is>
          <t>2026-04-28</t>
        </is>
      </c>
      <c r="P29" t="inlineStr">
        <is>
          <t>Papy Peter</t>
        </is>
      </c>
      <c r="Q29" t="inlineStr">
        <is>
          <t>Service résidentiel de nuit AVIQ, déficience mentale modérée à sévère</t>
        </is>
      </c>
      <c r="R29" t="inlineStr">
        <is>
          <t>2026-04-24</t>
        </is>
      </c>
      <c r="S29" t="inlineStr">
        <is>
          <t>Handicap mental;Ghlin;therapeutique</t>
        </is>
      </c>
      <c r="T29" t="inlineStr">
        <is>
          <t>Qualified</t>
        </is>
      </c>
      <c r="U29" t="n">
        <v>4</v>
      </c>
      <c r="V29" t="n">
        <v>3</v>
      </c>
      <c r="W29" t="n">
        <v>2</v>
      </c>
      <c r="X29" t="n">
        <v>3</v>
      </c>
      <c r="Z29" t="inlineStr">
        <is>
          <t>2026-04-26</t>
        </is>
      </c>
      <c r="AA29" t="n">
        <v>2000</v>
      </c>
    </row>
    <row r="30">
      <c r="A30" t="inlineStr">
        <is>
          <t>P-0029</t>
        </is>
      </c>
      <c r="B30" t="inlineStr">
        <is>
          <t>Handicap mental</t>
        </is>
      </c>
      <c r="C30" t="inlineStr">
        <is>
          <t>La Farandole ASBL (SAJA adultes)</t>
        </is>
      </c>
      <c r="D30" t="inlineStr">
        <is>
          <t>Mons</t>
        </is>
      </c>
      <c r="F30" t="inlineStr">
        <is>
          <t>Direction / admissions</t>
        </is>
      </c>
      <c r="H30" t="inlineStr">
        <is>
          <t>+32 65 84 43 89</t>
        </is>
      </c>
      <c r="J30" t="inlineStr">
        <is>
          <t>https://www.lafarandole-mons.be/services-aux-beneficiaires/</t>
        </is>
      </c>
      <c r="K30" t="n">
        <v>76</v>
      </c>
      <c r="L30" t="inlineStr">
        <is>
          <t>A qualifier</t>
        </is>
      </c>
      <c r="M30" t="inlineStr">
        <is>
          <t>Haute</t>
        </is>
      </c>
      <c r="N30" t="inlineStr">
        <is>
          <t>Identifier interlocuteur institution + proposer atelier pilote</t>
        </is>
      </c>
      <c r="O30" t="inlineStr">
        <is>
          <t>2026-04-27</t>
        </is>
      </c>
      <c r="P30" t="inlineStr">
        <is>
          <t>Papy Peter</t>
        </is>
      </c>
      <c r="Q30" t="inlineStr">
        <is>
          <t>Accueil de jour pour adultes en situation de handicap</t>
        </is>
      </c>
      <c r="R30" t="inlineStr">
        <is>
          <t>2026-04-24</t>
        </is>
      </c>
      <c r="S30" t="inlineStr">
        <is>
          <t>handicap mental;Mons;institutions</t>
        </is>
      </c>
      <c r="T30" t="inlineStr">
        <is>
          <t>Qualified</t>
        </is>
      </c>
      <c r="U30" t="n">
        <v>4</v>
      </c>
      <c r="V30" t="n">
        <v>3</v>
      </c>
      <c r="W30" t="n">
        <v>2</v>
      </c>
      <c r="X30" t="n">
        <v>3</v>
      </c>
      <c r="Z30" t="inlineStr">
        <is>
          <t>2026-04-26</t>
        </is>
      </c>
      <c r="AA30" t="n">
        <v>1700</v>
      </c>
    </row>
    <row r="31">
      <c r="A31" t="inlineStr">
        <is>
          <t>P-0030</t>
        </is>
      </c>
      <c r="B31" t="inlineStr">
        <is>
          <t>Handicap mental</t>
        </is>
      </c>
      <c r="C31" t="inlineStr">
        <is>
          <t>SAPHA (accompagnement adultes handicap)</t>
        </is>
      </c>
      <c r="D31" t="inlineStr">
        <is>
          <t>Mons</t>
        </is>
      </c>
      <c r="F31" t="inlineStr">
        <is>
          <t>Coordination accompagnement</t>
        </is>
      </c>
      <c r="G31" t="inlineStr">
        <is>
          <t>info@sapha.be</t>
        </is>
      </c>
      <c r="J31" t="inlineStr">
        <is>
          <t>https://www.sapha.be/wp-content/uploads/2020/05/foldersapha20191.pdf</t>
        </is>
      </c>
      <c r="K31" t="n">
        <v>76</v>
      </c>
      <c r="L31" t="inlineStr">
        <is>
          <t>A qualifier</t>
        </is>
      </c>
      <c r="M31" t="inlineStr">
        <is>
          <t>Haute</t>
        </is>
      </c>
      <c r="N31" t="inlineStr">
        <is>
          <t>Identifier interlocuteur institution + proposer atelier pilote</t>
        </is>
      </c>
      <c r="O31" t="inlineStr">
        <is>
          <t>2026-04-27</t>
        </is>
      </c>
      <c r="P31" t="inlineStr">
        <is>
          <t>Papy Peter</t>
        </is>
      </c>
      <c r="Q31" t="inlineStr">
        <is>
          <t>Service agréé AVIQ pour adultes en situation de handicap</t>
        </is>
      </c>
      <c r="R31" t="inlineStr">
        <is>
          <t>2026-04-24</t>
        </is>
      </c>
      <c r="S31" t="inlineStr">
        <is>
          <t>handicap mental;Mons;institutions</t>
        </is>
      </c>
      <c r="T31" t="inlineStr">
        <is>
          <t>Qualified</t>
        </is>
      </c>
      <c r="U31" t="n">
        <v>4</v>
      </c>
      <c r="V31" t="n">
        <v>3</v>
      </c>
      <c r="W31" t="n">
        <v>2</v>
      </c>
      <c r="X31" t="n">
        <v>3</v>
      </c>
      <c r="Z31" t="inlineStr">
        <is>
          <t>2026-04-26</t>
        </is>
      </c>
      <c r="AA31" t="n">
        <v>1700</v>
      </c>
    </row>
    <row r="32">
      <c r="A32" t="inlineStr">
        <is>
          <t>P-0031</t>
        </is>
      </c>
      <c r="B32" t="inlineStr">
        <is>
          <t>Handicap mental</t>
        </is>
      </c>
      <c r="C32" t="inlineStr">
        <is>
          <t>Bellerive ASBL</t>
        </is>
      </c>
      <c r="D32" t="inlineStr">
        <is>
          <t>Hoves</t>
        </is>
      </c>
      <c r="F32" t="inlineStr">
        <is>
          <t>Direction / admissions</t>
        </is>
      </c>
      <c r="G32" t="inlineStr">
        <is>
          <t>direction@bellerive-asbl.be</t>
        </is>
      </c>
      <c r="H32" t="inlineStr">
        <is>
          <t>+32 (0)2 395 55 13</t>
        </is>
      </c>
      <c r="J32" t="inlineStr">
        <is>
          <t>https://www.bellerive-asbl.be/contact/</t>
        </is>
      </c>
      <c r="K32" t="n">
        <v>76</v>
      </c>
      <c r="L32" t="inlineStr">
        <is>
          <t>A qualifier</t>
        </is>
      </c>
      <c r="M32" t="inlineStr">
        <is>
          <t>Moyenne</t>
        </is>
      </c>
      <c r="N32" t="inlineStr">
        <is>
          <t>Identifier interlocuteur institution + proposer atelier pilote</t>
        </is>
      </c>
      <c r="O32" t="inlineStr">
        <is>
          <t>2026-04-27</t>
        </is>
      </c>
      <c r="P32" t="inlineStr">
        <is>
          <t>Papy Peter</t>
        </is>
      </c>
      <c r="Q32" t="inlineStr">
        <is>
          <t>Hébergement adultes autistes et handicap mental</t>
        </is>
      </c>
      <c r="R32" t="inlineStr">
        <is>
          <t>2026-04-24</t>
        </is>
      </c>
      <c r="S32" t="inlineStr">
        <is>
          <t>handicap mental;Hoves;institutions</t>
        </is>
      </c>
      <c r="T32" t="inlineStr">
        <is>
          <t>Qualified</t>
        </is>
      </c>
      <c r="U32" t="n">
        <v>4</v>
      </c>
      <c r="V32" t="n">
        <v>3</v>
      </c>
      <c r="W32" t="n">
        <v>2</v>
      </c>
      <c r="X32" t="n">
        <v>3</v>
      </c>
      <c r="Z32" t="inlineStr">
        <is>
          <t>2026-04-26</t>
        </is>
      </c>
      <c r="AA32" t="n">
        <v>1700</v>
      </c>
    </row>
    <row r="33">
      <c r="A33" t="inlineStr">
        <is>
          <t>P-0032</t>
        </is>
      </c>
      <c r="B33" t="inlineStr">
        <is>
          <t>Handicap mental</t>
        </is>
      </c>
      <c r="C33" t="inlineStr">
        <is>
          <t>AVIQ - Bureau régional de Mons</t>
        </is>
      </c>
      <c r="D33" t="inlineStr">
        <is>
          <t>Mons</t>
        </is>
      </c>
      <c r="F33" t="inlineStr">
        <is>
          <t>Orientation / hébergement handicap</t>
        </is>
      </c>
      <c r="G33" t="inlineStr">
        <is>
          <t>br.mons@aviq.be</t>
        </is>
      </c>
      <c r="H33" t="inlineStr">
        <is>
          <t>065/32 86 11</t>
        </is>
      </c>
      <c r="J33" t="inlineStr">
        <is>
          <t>https://www.aviq.be/fr/bureau-de-mons</t>
        </is>
      </c>
      <c r="K33" t="n">
        <v>76</v>
      </c>
      <c r="L33" t="inlineStr">
        <is>
          <t>A qualifier</t>
        </is>
      </c>
      <c r="M33" t="inlineStr">
        <is>
          <t>Haute</t>
        </is>
      </c>
      <c r="N33" t="inlineStr">
        <is>
          <t>Identifier interlocuteur institution + proposer atelier pilote</t>
        </is>
      </c>
      <c r="O33" t="inlineStr">
        <is>
          <t>2026-04-27</t>
        </is>
      </c>
      <c r="P33" t="inlineStr">
        <is>
          <t>Papy Peter</t>
        </is>
      </c>
      <c r="Q33" t="inlineStr">
        <is>
          <t>Point d'entrée pour orientation services agréés handicap</t>
        </is>
      </c>
      <c r="R33" t="inlineStr">
        <is>
          <t>2026-04-24</t>
        </is>
      </c>
      <c r="S33" t="inlineStr">
        <is>
          <t>handicap mental;Mons;institutions</t>
        </is>
      </c>
      <c r="T33" t="inlineStr">
        <is>
          <t>Qualified</t>
        </is>
      </c>
      <c r="U33" t="n">
        <v>4</v>
      </c>
      <c r="V33" t="n">
        <v>3</v>
      </c>
      <c r="W33" t="n">
        <v>2</v>
      </c>
      <c r="X33" t="n">
        <v>3</v>
      </c>
      <c r="Z33" t="inlineStr">
        <is>
          <t>2026-04-26</t>
        </is>
      </c>
      <c r="AA33" t="n">
        <v>1700</v>
      </c>
    </row>
    <row r="34">
      <c r="A34" t="inlineStr">
        <is>
          <t>P-0033</t>
        </is>
      </c>
      <c r="B34" t="inlineStr">
        <is>
          <t>Ecole primaire</t>
        </is>
      </c>
      <c r="C34" t="inlineStr">
        <is>
          <t>École fondamentale libre Filles de la Sagesse (Saint-Symphorien)</t>
        </is>
      </c>
      <c r="D34" t="inlineStr">
        <is>
          <t>Mons</t>
        </is>
      </c>
      <c r="F34" t="inlineStr">
        <is>
          <t>Direction</t>
        </is>
      </c>
      <c r="G34" t="inlineStr">
        <is>
          <t>direction@ecolefdls.be</t>
        </is>
      </c>
      <c r="H34" t="inlineStr">
        <is>
          <t>065/35.49.94</t>
        </is>
      </c>
      <c r="J34" t="inlineStr">
        <is>
          <t>https://www.ecolefdls.be/contact/</t>
        </is>
      </c>
      <c r="K34" t="n">
        <v>79</v>
      </c>
      <c r="L34" t="inlineStr">
        <is>
          <t>A qualifier</t>
        </is>
      </c>
      <c r="M34" t="inlineStr">
        <is>
          <t>Haute</t>
        </is>
      </c>
      <c r="N34" t="inlineStr">
        <is>
          <t>Identifier décideur + proposer appel de 15 min</t>
        </is>
      </c>
      <c r="O34" t="inlineStr">
        <is>
          <t>2026-04-27</t>
        </is>
      </c>
      <c r="P34" t="inlineStr">
        <is>
          <t>Papy Peter</t>
        </is>
      </c>
      <c r="Q34" t="inlineStr">
        <is>
          <t>École fondamentale primaire/maternelle</t>
        </is>
      </c>
      <c r="R34" t="inlineStr">
        <is>
          <t>2026-04-24</t>
        </is>
      </c>
      <c r="S34" t="inlineStr">
        <is>
          <t>Ecole primaire;Mons;mons</t>
        </is>
      </c>
      <c r="T34" t="inlineStr">
        <is>
          <t>Qualified</t>
        </is>
      </c>
      <c r="U34" t="n">
        <v>4</v>
      </c>
      <c r="V34" t="n">
        <v>3</v>
      </c>
      <c r="W34" t="n">
        <v>2</v>
      </c>
      <c r="X34" t="n">
        <v>3</v>
      </c>
      <c r="Z34" t="inlineStr">
        <is>
          <t>2026-04-25</t>
        </is>
      </c>
      <c r="AA34" t="n">
        <v>1400</v>
      </c>
    </row>
    <row r="35">
      <c r="A35" t="inlineStr">
        <is>
          <t>P-0034</t>
        </is>
      </c>
      <c r="B35" t="inlineStr">
        <is>
          <t>Ecole primaire</t>
        </is>
      </c>
      <c r="C35" t="inlineStr">
        <is>
          <t>Institut Saint-Ferdinand - implantation Cuesmes</t>
        </is>
      </c>
      <c r="D35" t="inlineStr">
        <is>
          <t>Cuesmes</t>
        </is>
      </c>
      <c r="F35" t="inlineStr">
        <is>
          <t>Direction</t>
        </is>
      </c>
      <c r="G35" t="inlineStr">
        <is>
          <t>pietro.belfiore@coeisf.be</t>
        </is>
      </c>
      <c r="H35" t="inlineStr">
        <is>
          <t>065 31 62 14</t>
        </is>
      </c>
      <c r="J35" t="inlineStr">
        <is>
          <t>https://coeisf.be/fr/cuesmes/</t>
        </is>
      </c>
      <c r="K35" t="n">
        <v>79</v>
      </c>
      <c r="L35" t="inlineStr">
        <is>
          <t>A qualifier</t>
        </is>
      </c>
      <c r="M35" t="inlineStr">
        <is>
          <t>Haute</t>
        </is>
      </c>
      <c r="N35" t="inlineStr">
        <is>
          <t>Identifier décideur + proposer appel de 15 min</t>
        </is>
      </c>
      <c r="O35" t="inlineStr">
        <is>
          <t>2026-04-27</t>
        </is>
      </c>
      <c r="P35" t="inlineStr">
        <is>
          <t>Papy Peter</t>
        </is>
      </c>
      <c r="Q35" t="inlineStr">
        <is>
          <t>5 classes maternelles + 9 classes primaires</t>
        </is>
      </c>
      <c r="R35" t="inlineStr">
        <is>
          <t>2026-04-24</t>
        </is>
      </c>
      <c r="S35" t="inlineStr">
        <is>
          <t>Ecole primaire;Cuesmes;mons</t>
        </is>
      </c>
      <c r="T35" t="inlineStr">
        <is>
          <t>Qualified</t>
        </is>
      </c>
      <c r="U35" t="n">
        <v>4</v>
      </c>
      <c r="V35" t="n">
        <v>3</v>
      </c>
      <c r="W35" t="n">
        <v>2</v>
      </c>
      <c r="X35" t="n">
        <v>3</v>
      </c>
      <c r="Z35" t="inlineStr">
        <is>
          <t>2026-04-25</t>
        </is>
      </c>
      <c r="AA35" t="n">
        <v>1400</v>
      </c>
    </row>
    <row r="36">
      <c r="A36" t="inlineStr">
        <is>
          <t>P-0035</t>
        </is>
      </c>
      <c r="B36" t="inlineStr">
        <is>
          <t>Ecole primaire</t>
        </is>
      </c>
      <c r="C36" t="inlineStr">
        <is>
          <t>Institut Saint-Ferdinand - implantation Jemappes</t>
        </is>
      </c>
      <c r="D36" t="inlineStr">
        <is>
          <t>Jemappes</t>
        </is>
      </c>
      <c r="F36" t="inlineStr">
        <is>
          <t>Direction pédagogique</t>
        </is>
      </c>
      <c r="G36" t="inlineStr">
        <is>
          <t>marc.duquesne@coeisf.be</t>
        </is>
      </c>
      <c r="H36" t="inlineStr">
        <is>
          <t>065 82 49 93</t>
        </is>
      </c>
      <c r="J36" t="inlineStr">
        <is>
          <t>https://coeisf.be/fr/cuesmes/</t>
        </is>
      </c>
      <c r="K36" t="n">
        <v>79</v>
      </c>
      <c r="L36" t="inlineStr">
        <is>
          <t>A qualifier</t>
        </is>
      </c>
      <c r="M36" t="inlineStr">
        <is>
          <t>Haute</t>
        </is>
      </c>
      <c r="N36" t="inlineStr">
        <is>
          <t>Identifier décideur + proposer appel de 15 min</t>
        </is>
      </c>
      <c r="O36" t="inlineStr">
        <is>
          <t>2026-04-27</t>
        </is>
      </c>
      <c r="P36" t="inlineStr">
        <is>
          <t>Papy Peter</t>
        </is>
      </c>
      <c r="Q36" t="inlineStr">
        <is>
          <t>Section fondamentale (M1 à P6)</t>
        </is>
      </c>
      <c r="R36" t="inlineStr">
        <is>
          <t>2026-04-24</t>
        </is>
      </c>
      <c r="S36" t="inlineStr">
        <is>
          <t>Ecole primaire;Jemappes;mons</t>
        </is>
      </c>
      <c r="T36" t="inlineStr">
        <is>
          <t>Qualified</t>
        </is>
      </c>
      <c r="U36" t="n">
        <v>4</v>
      </c>
      <c r="V36" t="n">
        <v>3</v>
      </c>
      <c r="W36" t="n">
        <v>2</v>
      </c>
      <c r="X36" t="n">
        <v>3</v>
      </c>
      <c r="Z36" t="inlineStr">
        <is>
          <t>2026-04-25</t>
        </is>
      </c>
      <c r="AA36" t="n">
        <v>1400</v>
      </c>
    </row>
    <row r="37">
      <c r="A37" t="inlineStr">
        <is>
          <t>P-0036</t>
        </is>
      </c>
      <c r="B37" t="inlineStr">
        <is>
          <t>Ecole primaire</t>
        </is>
      </c>
      <c r="C37" t="inlineStr">
        <is>
          <t>École Arbre Vert (fondamental spécialisé)</t>
        </is>
      </c>
      <c r="D37" t="inlineStr">
        <is>
          <t>Mons</t>
        </is>
      </c>
      <c r="F37" t="inlineStr">
        <is>
          <t>Direction / secrétariat</t>
        </is>
      </c>
      <c r="H37" t="inlineStr">
        <is>
          <t>065/33.70.59</t>
        </is>
      </c>
      <c r="J37" t="inlineStr">
        <is>
          <t>https://www.ecolearbrevert.be/contact</t>
        </is>
      </c>
      <c r="K37" t="n">
        <v>79</v>
      </c>
      <c r="L37" t="inlineStr">
        <is>
          <t>A qualifier</t>
        </is>
      </c>
      <c r="M37" t="inlineStr">
        <is>
          <t>Haute</t>
        </is>
      </c>
      <c r="N37" t="inlineStr">
        <is>
          <t>Identifier décideur + proposer appel de 15 min</t>
        </is>
      </c>
      <c r="O37" t="inlineStr">
        <is>
          <t>2026-04-27</t>
        </is>
      </c>
      <c r="P37" t="inlineStr">
        <is>
          <t>Papy Peter</t>
        </is>
      </c>
      <c r="Q37" t="inlineStr">
        <is>
          <t>Enseignement fondamental spécialisé</t>
        </is>
      </c>
      <c r="R37" t="inlineStr">
        <is>
          <t>2026-04-24</t>
        </is>
      </c>
      <c r="S37" t="inlineStr">
        <is>
          <t>Ecole primaire;Mons;mons</t>
        </is>
      </c>
      <c r="T37" t="inlineStr">
        <is>
          <t>Qualified</t>
        </is>
      </c>
      <c r="U37" t="n">
        <v>4</v>
      </c>
      <c r="V37" t="n">
        <v>3</v>
      </c>
      <c r="W37" t="n">
        <v>2</v>
      </c>
      <c r="X37" t="n">
        <v>3</v>
      </c>
      <c r="Z37" t="inlineStr">
        <is>
          <t>2026-04-25</t>
        </is>
      </c>
      <c r="AA37" t="n">
        <v>1400</v>
      </c>
    </row>
    <row r="38">
      <c r="A38" t="inlineStr">
        <is>
          <t>P-0037</t>
        </is>
      </c>
      <c r="B38" t="inlineStr">
        <is>
          <t>Formation écologie/maraîchage</t>
        </is>
      </c>
      <c r="C38" t="inlineStr">
        <is>
          <t>IFAPME Mons-Borinage-Centre</t>
        </is>
      </c>
      <c r="D38" t="inlineStr">
        <is>
          <t>Mons</t>
        </is>
      </c>
      <c r="F38" t="inlineStr">
        <is>
          <t>Secrétariat formation</t>
        </is>
      </c>
      <c r="G38" t="inlineStr">
        <is>
          <t>mbc@ifapme.be</t>
        </is>
      </c>
      <c r="H38" t="inlineStr">
        <is>
          <t>065 35 60 00</t>
        </is>
      </c>
      <c r="J38" t="inlineStr">
        <is>
          <t>https://www.ifapme.be/centre-de-formations/mons</t>
        </is>
      </c>
      <c r="K38" t="n">
        <v>79</v>
      </c>
      <c r="L38" t="inlineStr">
        <is>
          <t>A qualifier</t>
        </is>
      </c>
      <c r="M38" t="inlineStr">
        <is>
          <t>Haute</t>
        </is>
      </c>
      <c r="N38" t="inlineStr">
        <is>
          <t>Identifier décideur + proposer appel de 15 min</t>
        </is>
      </c>
      <c r="O38" t="inlineStr">
        <is>
          <t>2026-04-27</t>
        </is>
      </c>
      <c r="P38" t="inlineStr">
        <is>
          <t>Papy Peter</t>
        </is>
      </c>
      <c r="Q38" t="inlineStr">
        <is>
          <t>Centre de formation avec pôle agriculture/alimentation durable</t>
        </is>
      </c>
      <c r="R38" t="inlineStr">
        <is>
          <t>2026-04-24</t>
        </is>
      </c>
      <c r="S38" t="inlineStr">
        <is>
          <t>Formation écologie/maraîchage;Mons;mons</t>
        </is>
      </c>
      <c r="T38" t="inlineStr">
        <is>
          <t>Qualified</t>
        </is>
      </c>
      <c r="U38" t="n">
        <v>4</v>
      </c>
      <c r="V38" t="n">
        <v>3</v>
      </c>
      <c r="W38" t="n">
        <v>2</v>
      </c>
      <c r="X38" t="n">
        <v>3</v>
      </c>
      <c r="Z38" t="inlineStr">
        <is>
          <t>2026-04-25</t>
        </is>
      </c>
      <c r="AA38" t="n">
        <v>1400</v>
      </c>
    </row>
    <row r="39">
      <c r="A39" t="inlineStr">
        <is>
          <t>P-0038</t>
        </is>
      </c>
      <c r="B39" t="inlineStr">
        <is>
          <t>Formation écologie/maraîchage</t>
        </is>
      </c>
      <c r="C39" t="inlineStr">
        <is>
          <t>IFAPME Mons - Formation Maraîcher bio</t>
        </is>
      </c>
      <c r="D39" t="inlineStr">
        <is>
          <t>Mons</t>
        </is>
      </c>
      <c r="F39" t="inlineStr">
        <is>
          <t>Conseiller formation</t>
        </is>
      </c>
      <c r="G39" t="inlineStr">
        <is>
          <t>mbc@ifapme.be</t>
        </is>
      </c>
      <c r="H39" t="inlineStr">
        <is>
          <t>065 35 60 00</t>
        </is>
      </c>
      <c r="J39" t="inlineStr">
        <is>
          <t>https://www.ifapme.be/formations/chef-dentreprise/agriculture-maraicher-bio-hfx</t>
        </is>
      </c>
      <c r="K39" t="n">
        <v>79</v>
      </c>
      <c r="L39" t="inlineStr">
        <is>
          <t>A qualifier</t>
        </is>
      </c>
      <c r="M39" t="inlineStr">
        <is>
          <t>Haute</t>
        </is>
      </c>
      <c r="N39" t="inlineStr">
        <is>
          <t>Identifier décideur + proposer appel de 15 min</t>
        </is>
      </c>
      <c r="O39" t="inlineStr">
        <is>
          <t>2026-04-27</t>
        </is>
      </c>
      <c r="P39" t="inlineStr">
        <is>
          <t>Papy Peter</t>
        </is>
      </c>
      <c r="Q39" t="inlineStr">
        <is>
          <t>Formation chef d'entreprise maraîcher bio</t>
        </is>
      </c>
      <c r="R39" t="inlineStr">
        <is>
          <t>2026-04-24</t>
        </is>
      </c>
      <c r="S39" t="inlineStr">
        <is>
          <t>Formation écologie/maraîchage;Mons;mons</t>
        </is>
      </c>
      <c r="T39" t="inlineStr">
        <is>
          <t>Qualified</t>
        </is>
      </c>
      <c r="U39" t="n">
        <v>4</v>
      </c>
      <c r="V39" t="n">
        <v>3</v>
      </c>
      <c r="W39" t="n">
        <v>2</v>
      </c>
      <c r="X39" t="n">
        <v>3</v>
      </c>
      <c r="Z39" t="inlineStr">
        <is>
          <t>2026-04-25</t>
        </is>
      </c>
      <c r="AA39" t="n">
        <v>1400</v>
      </c>
    </row>
    <row r="40">
      <c r="A40" t="inlineStr">
        <is>
          <t>P-0039</t>
        </is>
      </c>
      <c r="B40" t="inlineStr">
        <is>
          <t>Formation écologie/maraîchage</t>
        </is>
      </c>
      <c r="C40" t="inlineStr">
        <is>
          <t>Centre de compétence Forem Environnement</t>
        </is>
      </c>
      <c r="D40" t="inlineStr">
        <is>
          <t>Mons</t>
        </is>
      </c>
      <c r="F40" t="inlineStr">
        <is>
          <t>Service clientèle</t>
        </is>
      </c>
      <c r="G40" t="inlineStr">
        <is>
          <t>environnement.info@forem.be</t>
        </is>
      </c>
      <c r="H40" t="inlineStr">
        <is>
          <t>065/32 73 27</t>
        </is>
      </c>
      <c r="J40" t="inlineStr">
        <is>
          <t>https://www.formation-environnement.be/contact-cdc-forem-environnement</t>
        </is>
      </c>
      <c r="K40" t="n">
        <v>79</v>
      </c>
      <c r="L40" t="inlineStr">
        <is>
          <t>A qualifier</t>
        </is>
      </c>
      <c r="M40" t="inlineStr">
        <is>
          <t>Haute</t>
        </is>
      </c>
      <c r="N40" t="inlineStr">
        <is>
          <t>Identifier décideur + proposer appel de 15 min</t>
        </is>
      </c>
      <c r="O40" t="inlineStr">
        <is>
          <t>2026-04-27</t>
        </is>
      </c>
      <c r="P40" t="inlineStr">
        <is>
          <t>Papy Peter</t>
        </is>
      </c>
      <c r="Q40" t="inlineStr">
        <is>
          <t>Formations environnement/économie circulaire</t>
        </is>
      </c>
      <c r="R40" t="inlineStr">
        <is>
          <t>2026-04-24</t>
        </is>
      </c>
      <c r="S40" t="inlineStr">
        <is>
          <t>Formation écologie/maraîchage;Mons;mons</t>
        </is>
      </c>
      <c r="T40" t="inlineStr">
        <is>
          <t>Qualified</t>
        </is>
      </c>
      <c r="U40" t="n">
        <v>4</v>
      </c>
      <c r="V40" t="n">
        <v>3</v>
      </c>
      <c r="W40" t="n">
        <v>2</v>
      </c>
      <c r="X40" t="n">
        <v>3</v>
      </c>
      <c r="Z40" t="inlineStr">
        <is>
          <t>2026-04-25</t>
        </is>
      </c>
      <c r="AA40" t="n">
        <v>1400</v>
      </c>
    </row>
    <row r="41">
      <c r="A41" t="inlineStr">
        <is>
          <t>P-0040</t>
        </is>
      </c>
      <c r="B41" t="inlineStr">
        <is>
          <t>Formation écologie/maraîchage</t>
        </is>
      </c>
      <c r="C41" t="inlineStr">
        <is>
          <t>Biowallonie (formations maraîchage bio)</t>
        </is>
      </c>
      <c r="D41" t="inlineStr">
        <is>
          <t>Wallonie</t>
        </is>
      </c>
      <c r="F41" t="inlineStr">
        <is>
          <t>Coordination formation</t>
        </is>
      </c>
      <c r="G41" t="inlineStr">
        <is>
          <t>info@biowallonie.be</t>
        </is>
      </c>
      <c r="H41" t="inlineStr">
        <is>
          <t>081/281.010</t>
        </is>
      </c>
      <c r="J41" t="inlineStr">
        <is>
          <t>https://www.biowallonie.com/accompagnement/formations/</t>
        </is>
      </c>
      <c r="K41" t="n">
        <v>79</v>
      </c>
      <c r="L41" t="inlineStr">
        <is>
          <t>A qualifier</t>
        </is>
      </c>
      <c r="M41" t="inlineStr">
        <is>
          <t>Moyenne</t>
        </is>
      </c>
      <c r="N41" t="inlineStr">
        <is>
          <t>Identifier décideur + proposer appel de 15 min</t>
        </is>
      </c>
      <c r="O41" t="inlineStr">
        <is>
          <t>2026-04-27</t>
        </is>
      </c>
      <c r="P41" t="inlineStr">
        <is>
          <t>Papy Peter</t>
        </is>
      </c>
      <c r="Q41" t="inlineStr">
        <is>
          <t>Formations techniques maraîchage bio</t>
        </is>
      </c>
      <c r="R41" t="inlineStr">
        <is>
          <t>2026-04-24</t>
        </is>
      </c>
      <c r="S41" t="inlineStr">
        <is>
          <t>Formation écologie/maraîchage;Wallonie;mons</t>
        </is>
      </c>
      <c r="T41" t="inlineStr">
        <is>
          <t>Qualified</t>
        </is>
      </c>
      <c r="U41" t="n">
        <v>4</v>
      </c>
      <c r="V41" t="n">
        <v>3</v>
      </c>
      <c r="W41" t="n">
        <v>2</v>
      </c>
      <c r="X41" t="n">
        <v>3</v>
      </c>
      <c r="Z41" t="inlineStr">
        <is>
          <t>2026-04-25</t>
        </is>
      </c>
      <c r="AA41" t="n">
        <v>1400</v>
      </c>
    </row>
    <row r="42">
      <c r="A42" t="inlineStr">
        <is>
          <t>P-0041</t>
        </is>
      </c>
      <c r="B42" t="inlineStr">
        <is>
          <t>Université</t>
        </is>
      </c>
      <c r="C42" t="inlineStr">
        <is>
          <t>Université de Mons (UMONS)</t>
        </is>
      </c>
      <c r="D42" t="inlineStr">
        <is>
          <t>Mons</t>
        </is>
      </c>
      <c r="E42" t="inlineStr"/>
      <c r="F42" t="inlineStr">
        <is>
          <t>Contact institutionnel / partenariats</t>
        </is>
      </c>
      <c r="G42" t="inlineStr"/>
      <c r="H42" t="inlineStr">
        <is>
          <t>+(32)65 37 31 11</t>
        </is>
      </c>
      <c r="I42" t="inlineStr"/>
      <c r="J42" t="inlineStr">
        <is>
          <t>https://web.umons.ac.be/fr/contacts/</t>
        </is>
      </c>
      <c r="K42" t="n">
        <v>72</v>
      </c>
      <c r="L42" t="inlineStr">
        <is>
          <t>A qualifier</t>
        </is>
      </c>
      <c r="M42" t="inlineStr">
        <is>
          <t>Moyenne</t>
        </is>
      </c>
      <c r="N42" t="inlineStr">
        <is>
          <t>Identifier service partenariats/projets étudiants</t>
        </is>
      </c>
      <c r="O42" t="inlineStr">
        <is>
          <t>2026-04-28</t>
        </is>
      </c>
      <c r="P42" t="inlineStr">
        <is>
          <t>Papy Peter</t>
        </is>
      </c>
      <c r="Q42" t="inlineStr">
        <is>
          <t>Université publique - contact central</t>
        </is>
      </c>
      <c r="R42" t="inlineStr">
        <is>
          <t>2026-04-24</t>
        </is>
      </c>
      <c r="S42" t="inlineStr">
        <is>
          <t>universite;Mons;partenariats</t>
        </is>
      </c>
      <c r="T42" t="inlineStr">
        <is>
          <t>Qualified</t>
        </is>
      </c>
      <c r="U42" t="n">
        <v>3</v>
      </c>
      <c r="V42" t="n">
        <v>3</v>
      </c>
      <c r="W42" t="n">
        <v>2</v>
      </c>
      <c r="X42" t="n">
        <v>3</v>
      </c>
      <c r="Z42" t="inlineStr">
        <is>
          <t>2026-04-26</t>
        </is>
      </c>
      <c r="AA42" t="n">
        <v>1600</v>
      </c>
    </row>
    <row r="43">
      <c r="A43" t="inlineStr">
        <is>
          <t>P-0042</t>
        </is>
      </c>
      <c r="B43" t="inlineStr">
        <is>
          <t>Université</t>
        </is>
      </c>
      <c r="C43" t="inlineStr">
        <is>
          <t>UCLouvain FUCaM Mons</t>
        </is>
      </c>
      <c r="D43" t="inlineStr">
        <is>
          <t>Mons</t>
        </is>
      </c>
      <c r="E43" t="inlineStr"/>
      <c r="F43" t="inlineStr">
        <is>
          <t>Accueil campus / contact étudiants</t>
        </is>
      </c>
      <c r="G43" t="inlineStr"/>
      <c r="H43" t="inlineStr">
        <is>
          <t>+32 (0) 65/32 32 25</t>
        </is>
      </c>
      <c r="I43" t="inlineStr"/>
      <c r="J43" t="inlineStr">
        <is>
          <t>https://www.uclouvain.be/en/support/welcome-and-appointments</t>
        </is>
      </c>
      <c r="K43" t="n">
        <v>72</v>
      </c>
      <c r="L43" t="inlineStr">
        <is>
          <t>A qualifier</t>
        </is>
      </c>
      <c r="M43" t="inlineStr">
        <is>
          <t>Moyenne</t>
        </is>
      </c>
      <c r="N43" t="inlineStr">
        <is>
          <t>Identifier service partenariats/projets étudiants</t>
        </is>
      </c>
      <c r="O43" t="inlineStr">
        <is>
          <t>2026-04-28</t>
        </is>
      </c>
      <c r="P43" t="inlineStr">
        <is>
          <t>Papy Peter</t>
        </is>
      </c>
      <c r="Q43" t="inlineStr">
        <is>
          <t>Campus universitaire UCLouvain à Mons</t>
        </is>
      </c>
      <c r="R43" t="inlineStr">
        <is>
          <t>2026-04-24</t>
        </is>
      </c>
      <c r="S43" t="inlineStr">
        <is>
          <t>universite;Mons;partenariats</t>
        </is>
      </c>
      <c r="T43" t="inlineStr">
        <is>
          <t>Qualified</t>
        </is>
      </c>
      <c r="U43" t="n">
        <v>3</v>
      </c>
      <c r="V43" t="n">
        <v>3</v>
      </c>
      <c r="W43" t="n">
        <v>2</v>
      </c>
      <c r="X43" t="n">
        <v>3</v>
      </c>
      <c r="Z43" t="inlineStr">
        <is>
          <t>2026-04-26</t>
        </is>
      </c>
      <c r="AA43" t="n">
        <v>1600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20" customWidth="1" min="5" max="5"/>
    <col width="24" customWidth="1" min="6" max="6"/>
    <col width="14" customWidth="1" min="7" max="7"/>
    <col width="34" customWidth="1" min="8" max="8"/>
  </cols>
  <sheetData>
    <row r="1">
      <c r="A1" s="2" t="inlineStr">
        <is>
          <t>date</t>
        </is>
      </c>
      <c r="B1" s="2" t="inlineStr">
        <is>
          <t>prospect_id</t>
        </is>
      </c>
      <c r="C1" s="2" t="inlineStr">
        <is>
          <t>canal</t>
        </is>
      </c>
      <c r="D1" s="2" t="inlineStr">
        <is>
          <t>objet</t>
        </is>
      </c>
      <c r="E1" s="2" t="inlineStr">
        <is>
          <t>resultat</t>
        </is>
      </c>
      <c r="F1" s="2" t="inlineStr">
        <is>
          <t>next_step</t>
        </is>
      </c>
      <c r="G1" s="2" t="inlineStr">
        <is>
          <t>owner</t>
        </is>
      </c>
      <c r="H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4" max="4"/>
    <col width="24" customWidth="1" min="5" max="5"/>
  </cols>
  <sheetData>
    <row r="1">
      <c r="A1" s="3" t="inlineStr">
        <is>
          <t>Pipeline Personnel - Zion Garden</t>
        </is>
      </c>
    </row>
    <row r="3">
      <c r="A3" s="4" t="inlineStr">
        <is>
          <t>Statut</t>
        </is>
      </c>
      <c r="B3" s="4" t="inlineStr">
        <is>
          <t>Nombre</t>
        </is>
      </c>
      <c r="D3" s="4" t="inlineStr">
        <is>
          <t>KPI</t>
        </is>
      </c>
      <c r="E3" s="4" t="inlineStr">
        <is>
          <t>Valeur</t>
        </is>
      </c>
    </row>
    <row r="4">
      <c r="A4" t="inlineStr">
        <is>
          <t>A qualifier</t>
        </is>
      </c>
      <c r="B4">
        <f>COUNTIF(Prospects!L:L,A4)</f>
        <v/>
      </c>
      <c r="D4" t="inlineStr">
        <is>
          <t>Total prospects</t>
        </is>
      </c>
      <c r="E4">
        <f>COUNTA(Prospects!A:A)-1</f>
        <v/>
      </c>
    </row>
    <row r="5">
      <c r="A5" t="inlineStr">
        <is>
          <t>Email envoye</t>
        </is>
      </c>
      <c r="B5">
        <f>COUNTIF(Prospects!L:L,A5)</f>
        <v/>
      </c>
      <c r="D5" t="inlineStr">
        <is>
          <t>RDV planifies</t>
        </is>
      </c>
      <c r="E5">
        <f>COUNTIF(Prospects!L:L,"RDV planifie")</f>
        <v/>
      </c>
    </row>
    <row r="6">
      <c r="A6" t="inlineStr">
        <is>
          <t>Relance 1</t>
        </is>
      </c>
      <c r="B6">
        <f>COUNTIF(Prospects!L:L,A6)</f>
        <v/>
      </c>
      <c r="D6" t="inlineStr">
        <is>
          <t>Gagnes</t>
        </is>
      </c>
      <c r="E6">
        <f>COUNTIF(Prospects!L:L,"Gagne")</f>
        <v/>
      </c>
    </row>
    <row r="7">
      <c r="A7" t="inlineStr">
        <is>
          <t>Relance 2</t>
        </is>
      </c>
      <c r="B7">
        <f>COUNTIF(Prospects!L:L,A7)</f>
        <v/>
      </c>
      <c r="D7" t="inlineStr">
        <is>
          <t>Taux RDV</t>
        </is>
      </c>
      <c r="E7" s="5">
        <f>IF(E4=0,0,E5/E4)</f>
        <v/>
      </c>
    </row>
    <row r="8">
      <c r="A8" t="inlineStr">
        <is>
          <t>RDV planifie</t>
        </is>
      </c>
      <c r="B8">
        <f>COUNTIF(Prospects!L:L,A8)</f>
        <v/>
      </c>
      <c r="D8" t="inlineStr">
        <is>
          <t>Taux closing</t>
        </is>
      </c>
      <c r="E8" s="5">
        <f>IF(E4=0,0,E6/E4)</f>
        <v/>
      </c>
    </row>
    <row r="9">
      <c r="A9" t="inlineStr">
        <is>
          <t>Proposition envoyee</t>
        </is>
      </c>
      <c r="B9">
        <f>COUNTIF(Prospects!L:L,A9)</f>
        <v/>
      </c>
    </row>
    <row r="10">
      <c r="A10" t="inlineStr">
        <is>
          <t>Gagne</t>
        </is>
      </c>
      <c r="B10">
        <f>COUNTIF(Prospects!L:L,A10)</f>
        <v/>
      </c>
    </row>
    <row r="11">
      <c r="A11" t="inlineStr">
        <is>
          <t>Perdu</t>
        </is>
      </c>
      <c r="B11">
        <f>COUNTIF(Prospects!L:L,A11)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Comment utiliser ce CRM</t>
        </is>
      </c>
    </row>
    <row r="3">
      <c r="A3" t="inlineStr">
        <is>
          <t>1) Ajoute les prospects dans l'onglet Prospects.</t>
        </is>
      </c>
    </row>
    <row r="4">
      <c r="A4" t="inlineStr">
        <is>
          <t>2) Mets a jour le statut apres chaque action.</t>
        </is>
      </c>
    </row>
    <row r="5">
      <c r="A5" t="inlineStr">
        <is>
          <t>3) Journalise chaque contact dans Interactions.</t>
        </is>
      </c>
    </row>
    <row r="6">
      <c r="A6" t="inlineStr">
        <is>
          <t>4) Verifie Pipeline chaque semaine pour les KPI.</t>
        </is>
      </c>
    </row>
    <row r="7">
      <c r="A7" t="inlineStr">
        <is>
          <t>5) Priorise les statuts RDV planifie / Proposition envoyee.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prospect_id</t>
        </is>
      </c>
      <c r="B1" s="2" t="inlineStr">
        <is>
          <t>organisation</t>
        </is>
      </c>
      <c r="C1" s="2" t="inlineStr">
        <is>
          <t>statut</t>
        </is>
      </c>
      <c r="D1" s="2" t="inlineStr">
        <is>
          <t>prochaine_action</t>
        </is>
      </c>
      <c r="E1" s="2" t="inlineStr">
        <is>
          <t>next_action_date</t>
        </is>
      </c>
      <c r="F1" s="2" t="inlineStr">
        <is>
          <t>priorite</t>
        </is>
      </c>
      <c r="G1" s="2" t="inlineStr">
        <is>
          <t>owner</t>
        </is>
      </c>
    </row>
    <row r="2">
      <c r="A2" t="inlineStr">
        <is>
          <t>P-0001</t>
        </is>
      </c>
      <c r="C2" t="inlineStr">
        <is>
          <t>A qualifier</t>
        </is>
      </c>
      <c r="D2" t="inlineStr">
        <is>
          <t>Appel de qualification</t>
        </is>
      </c>
      <c r="E2" t="inlineStr">
        <is>
          <t>2026-04-27</t>
        </is>
      </c>
      <c r="F2" t="inlineStr">
        <is>
          <t>Haute</t>
        </is>
      </c>
      <c r="G2" t="inlineStr">
        <is>
          <t>Papy Peter</t>
        </is>
      </c>
    </row>
    <row r="3">
      <c r="A3" t="inlineStr">
        <is>
          <t>P-0002</t>
        </is>
      </c>
      <c r="C3" t="inlineStr">
        <is>
          <t>A qualifier</t>
        </is>
      </c>
      <c r="D3" t="inlineStr">
        <is>
          <t>Email J0</t>
        </is>
      </c>
      <c r="E3" t="inlineStr">
        <is>
          <t>2026-04-27</t>
        </is>
      </c>
      <c r="F3" t="inlineStr">
        <is>
          <t>Moyenne</t>
        </is>
      </c>
      <c r="G3" t="inlineStr">
        <is>
          <t>Papy Peter</t>
        </is>
      </c>
    </row>
    <row r="4">
      <c r="A4" t="inlineStr">
        <is>
          <t>P-0003</t>
        </is>
      </c>
      <c r="C4" t="inlineStr">
        <is>
          <t>A qualifier</t>
        </is>
      </c>
      <c r="D4" t="inlineStr">
        <is>
          <t>Email J0</t>
        </is>
      </c>
      <c r="E4" t="inlineStr">
        <is>
          <t>2026-04-27</t>
        </is>
      </c>
      <c r="F4" t="inlineStr">
        <is>
          <t>Moyenne</t>
        </is>
      </c>
      <c r="G4" t="inlineStr">
        <is>
          <t>Papy Peter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step</t>
        </is>
      </c>
      <c r="C1" s="2" t="inlineStr">
        <is>
          <t>subject</t>
        </is>
      </c>
      <c r="D1" s="2" t="inlineStr">
        <is>
          <t>body</t>
        </is>
      </c>
    </row>
    <row r="2">
      <c r="A2" t="inlineStr">
        <is>
          <t>Ecole</t>
        </is>
      </c>
      <c r="B2" t="inlineStr">
        <is>
          <t>J0</t>
        </is>
      </c>
      <c r="C2" t="inlineStr">
        <is>
          <t>Projet potager pédagogique - échange rapide</t>
        </is>
      </c>
      <c r="D2" t="inlineStr">
        <is>
          <t>Bonjour {{prenom}}, je vous contacte car nous accompagnons les écoles autour de Mons sur des potagers pédagogiques concrets. Seriez-vous disponible 15 minutes cette semaine pour en parler ?</t>
        </is>
      </c>
    </row>
    <row r="3">
      <c r="A3" t="inlineStr">
        <is>
          <t>Ecole</t>
        </is>
      </c>
      <c r="B3" t="inlineStr">
        <is>
          <t>J3</t>
        </is>
      </c>
      <c r="C3" t="inlineStr">
        <is>
          <t>Relance - potager pédagogique</t>
        </is>
      </c>
      <c r="D3" t="inlineStr">
        <is>
          <t>Bonjour {{prenom}}, je me permets une relance rapide concernant le projet potager pédagogique. Souhaitez-vous que je vous partage un format pilote simple à tester ?</t>
        </is>
      </c>
    </row>
    <row r="4">
      <c r="A4" t="inlineStr">
        <is>
          <t>Ecole</t>
        </is>
      </c>
      <c r="B4" t="inlineStr">
        <is>
          <t>J7</t>
        </is>
      </c>
      <c r="C4" t="inlineStr">
        <is>
          <t>Dernier message - projet école</t>
        </is>
      </c>
      <c r="D4" t="inlineStr">
        <is>
          <t>Bonjour {{prenom}}, dernier message de ma part. Si utile, je peux vous envoyer une proposition courte adaptée à votre établissement.</t>
        </is>
      </c>
    </row>
    <row r="5">
      <c r="A5" t="inlineStr">
        <is>
          <t>Maison de repos</t>
        </is>
      </c>
      <c r="B5" t="inlineStr">
        <is>
          <t>J0</t>
        </is>
      </c>
      <c r="C5" t="inlineStr">
        <is>
          <t>Jardin thérapeutique - proposition</t>
        </is>
      </c>
      <c r="D5" t="inlineStr">
        <is>
          <t>Bonjour {{prenom}}, nous mettons en place des jardins-activités thérapeutiques pour maisons de repos. Ouvert à un échange de 15 minutes ?</t>
        </is>
      </c>
    </row>
    <row r="6">
      <c r="A6" t="inlineStr">
        <is>
          <t>Entreprise</t>
        </is>
      </c>
      <c r="B6" t="inlineStr">
        <is>
          <t>J0</t>
        </is>
      </c>
      <c r="C6" t="inlineStr">
        <is>
          <t>Atelier permaculture &amp; cohésion d'équipe</t>
        </is>
      </c>
      <c r="D6" t="inlineStr">
        <is>
          <t>Bonjour {{prenom}}, nous organisons des ateliers permaculture orientés bien-être et cohésion d'équipe. Souhaitez-vous un format pilote 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sales_stage</t>
        </is>
      </c>
      <c r="B1" s="2" t="inlineStr">
        <is>
          <t>definition</t>
        </is>
      </c>
    </row>
    <row r="2">
      <c r="A2" t="inlineStr">
        <is>
          <t>New</t>
        </is>
      </c>
      <c r="B2" t="inlineStr">
        <is>
          <t>Contact ajouté, pas encore qualifié</t>
        </is>
      </c>
    </row>
    <row r="3">
      <c r="A3" t="inlineStr">
        <is>
          <t>Qualified</t>
        </is>
      </c>
      <c r="B3" t="inlineStr">
        <is>
          <t>Fit ICP validé</t>
        </is>
      </c>
    </row>
    <row r="4">
      <c r="A4" t="inlineStr">
        <is>
          <t>Contacted</t>
        </is>
      </c>
      <c r="B4" t="inlineStr">
        <is>
          <t>Premier contact effectué</t>
        </is>
      </c>
    </row>
    <row r="5">
      <c r="A5" t="inlineStr">
        <is>
          <t>Meeting</t>
        </is>
      </c>
      <c r="B5" t="inlineStr">
        <is>
          <t>RDV planifié ou réalisé</t>
        </is>
      </c>
    </row>
    <row r="6">
      <c r="A6" t="inlineStr">
        <is>
          <t>Proposal</t>
        </is>
      </c>
      <c r="B6" t="inlineStr">
        <is>
          <t>Proposition envoyée</t>
        </is>
      </c>
    </row>
    <row r="7">
      <c r="A7" t="inlineStr">
        <is>
          <t>Won</t>
        </is>
      </c>
      <c r="B7" t="inlineStr">
        <is>
          <t>Client gagné</t>
        </is>
      </c>
    </row>
    <row r="8">
      <c r="A8" t="inlineStr">
        <is>
          <t>Lost</t>
        </is>
      </c>
      <c r="B8" t="inlineStr">
        <is>
          <t>Opportunité perdue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2026-04-24T08:42:56Z</dcterms:created>
  <dcterms:modified xmlns:dcterms="http://purl.org/dc/terms/" xmlns:xsi="http://www.w3.org/2001/XMLSchema-instance" xsi:type="dcterms:W3CDTF">2026-04-24T09:19:14Z</dcterms:modified>
</cp:coreProperties>
</file>